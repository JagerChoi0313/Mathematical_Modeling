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总览Dashboard" sheetId="1" state="visible" r:id="rId1"/>
    <sheet name="02_模型对比" sheetId="2" state="visible" r:id="rId2"/>
    <sheet name="03_模型1生产计划" sheetId="3" state="visible" r:id="rId3"/>
    <sheet name="04_模型2生产计划" sheetId="4" state="visible" r:id="rId4"/>
    <sheet name="05_卸点产量验证" sheetId="5" state="visible" r:id="rId5"/>
    <sheet name="06_矿石品位验证" sheetId="6" state="visible" r:id="rId6"/>
    <sheet name="07_铲位资源利用" sheetId="7" state="visible" r:id="rId7"/>
    <sheet name="08_车辆路线利用" sheetId="8" state="visible" r:id="rId8"/>
    <sheet name="09_原始数据参数" sheetId="9" state="visible" r:id="rId9"/>
    <sheet name="10_建模说明" sheetId="10" state="visible" r:id="rId10"/>
  </sheets>
  <definedNames>
    <definedName name="_xlnm._FilterDatabase" localSheetId="0" hidden="1">'01_总览Dashboard'!$E$11:$G$16</definedName>
    <definedName name="_xlnm._FilterDatabase" localSheetId="1" hidden="1">'02_模型对比'!$A$4:$F$14</definedName>
    <definedName name="_xlnm._FilterDatabase" localSheetId="2" hidden="1">'03_模型1生产计划'!$A$4:$R$16</definedName>
    <definedName name="_xlnm._FilterDatabase" localSheetId="3" hidden="1">'04_模型2生产计划'!$A$4:$R$19</definedName>
    <definedName name="_xlnm._FilterDatabase" localSheetId="4" hidden="1">'05_卸点产量验证'!$A$4:$K$14</definedName>
    <definedName name="_xlnm._FilterDatabase" localSheetId="5" hidden="1">'06_矿石品位验证'!$A$4:$K$10</definedName>
    <definedName name="_xlnm._FilterDatabase" localSheetId="6" hidden="1">'07_铲位资源利用'!$A$4:$O$24</definedName>
    <definedName name="_xlnm._FilterDatabase" localSheetId="7" hidden="1">'08_车辆路线利用'!$A$4:$Q$31</definedName>
    <definedName name="_xlnm._FilterDatabase" localSheetId="8" hidden="1">'09_原始数据参数'!$A$42:$F$52</definedName>
    <definedName name="_xlnm._FilterDatabase" localSheetId="9" hidden="1">'10_建模说明'!$A$4:$B$15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b val="1"/>
      <color rgb="001F4E78"/>
      <sz val="18"/>
    </font>
    <font>
      <name val="微软雅黑"/>
      <sz val="10"/>
    </font>
    <font>
      <name val="微软雅黑"/>
      <b val="1"/>
      <color rgb="00000000"/>
      <sz val="10"/>
    </font>
    <font>
      <name val="微软雅黑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4FB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4CCCC"/>
      </patternFill>
    </fill>
  </fills>
  <borders count="7">
    <border>
      <left/>
      <right/>
      <top/>
      <bottom/>
      <diagonal/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7" fillId="0" borderId="5" applyAlignment="1" pivotButton="0" quotePrefix="0" xfId="0">
      <alignment vertical="center" wrapText="1"/>
    </xf>
    <xf numFmtId="0" fontId="7" fillId="0" borderId="6" applyAlignment="1" pivotButton="0" quotePrefix="0" xfId="0">
      <alignment vertical="center" wrapText="1"/>
    </xf>
    <xf numFmtId="10" fontId="5" fillId="0" borderId="2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模型1与模型2产量对比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'01_总览Dashboard'!B11</f>
            </strRef>
          </tx>
          <spPr>
            <a:ln>
              <a:prstDash val="solid"/>
            </a:ln>
          </spPr>
          <cat>
            <numRef>
              <f>'01_总览Dashboard'!$A$12:$A$14</f>
            </numRef>
          </cat>
          <val>
            <numRef>
              <f>'01_总览Dashboard'!$B$12:$B$14</f>
            </numRef>
          </val>
        </ser>
        <ser>
          <idx val="1"/>
          <order val="1"/>
          <tx>
            <strRef>
              <f>'01_总览Dashboard'!C11</f>
            </strRef>
          </tx>
          <spPr>
            <a:ln>
              <a:prstDash val="solid"/>
            </a:ln>
          </spPr>
          <cat>
            <numRef>
              <f>'01_总览Dashboard'!$A$12:$A$14</f>
            </numRef>
          </cat>
          <val>
            <numRef>
              <f>'01_总览Dashboard'!$C$12:$C$14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万吨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模型2各卸点产量完成情况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'01_总览Dashboard'!F11</f>
            </strRef>
          </tx>
          <spPr>
            <a:ln>
              <a:prstDash val="solid"/>
            </a:ln>
          </spPr>
          <cat>
            <numRef>
              <f>'01_总览Dashboard'!$E$12:$E$16</f>
            </numRef>
          </cat>
          <val>
            <numRef>
              <f>'01_总览Dashboard'!$F$12:$F$16</f>
            </numRef>
          </val>
        </ser>
        <ser>
          <idx val="1"/>
          <order val="1"/>
          <tx>
            <strRef>
              <f>'01_总览Dashboard'!G11</f>
            </strRef>
          </tx>
          <spPr>
            <a:ln>
              <a:prstDash val="solid"/>
            </a:ln>
          </spPr>
          <cat>
            <numRef>
              <f>'01_总览Dashboard'!$E$12:$E$16</f>
            </numRef>
          </cat>
          <val>
            <numRef>
              <f>'01_总览Dashboard'!$G$12:$G$16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卸点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万吨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16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mpareTable" displayName="CompareTable" ref="A4:F14" headerRowCount="1">
  <autoFilter ref="A4:F14"/>
  <tableColumns count="6">
    <tableColumn id="1" name="指标"/>
    <tableColumn id="2" name="模型1"/>
    <tableColumn id="3" name="模型2"/>
    <tableColumn id="4" name="模型2-模型1"/>
    <tableColumn id="5" name="变化率"/>
    <tableColumn id="6" name="解释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del1RouteTable" displayName="Model1RouteTable" ref="A4:R16" headerRowCount="1">
  <autoFilter ref="A4:R16"/>
  <tableColumns count="18">
    <tableColumn id="1" name="模型"/>
    <tableColumn id="2" name="铲位"/>
    <tableColumn id="3" name="卸点"/>
    <tableColumn id="4" name="卸点类型"/>
    <tableColumn id="5" name="运输物料"/>
    <tableColumn id="6" name="距离/km"/>
    <tableColumn id="7" name="车辆数/辆"/>
    <tableColumn id="8" name="运输趟数/趟"/>
    <tableColumn id="9" name="运输量/万吨"/>
    <tableColumn id="10" name="单趟吨公里"/>
    <tableColumn id="11" name="总运量/吨公里"/>
    <tableColumn id="12" name="循环时间/min"/>
    <tableColumn id="13" name="单车最大趟数"/>
    <tableColumn id="14" name="路线总能力/趟"/>
    <tableColumn id="15" name="车辆利用率"/>
    <tableColumn id="16" name="同路线不等待上限/辆"/>
    <tableColumn id="17" name="不等待约束"/>
    <tableColumn id="18" name="矿石品位/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odel2RouteTable" displayName="Model2RouteTable" ref="A4:R19" headerRowCount="1">
  <autoFilter ref="A4:R19"/>
  <tableColumns count="18">
    <tableColumn id="1" name="模型"/>
    <tableColumn id="2" name="铲位"/>
    <tableColumn id="3" name="卸点"/>
    <tableColumn id="4" name="卸点类型"/>
    <tableColumn id="5" name="运输物料"/>
    <tableColumn id="6" name="距离/km"/>
    <tableColumn id="7" name="车辆数/辆"/>
    <tableColumn id="8" name="运输趟数/趟"/>
    <tableColumn id="9" name="运输量/万吨"/>
    <tableColumn id="10" name="单趟吨公里"/>
    <tableColumn id="11" name="总运量/吨公里"/>
    <tableColumn id="12" name="循环时间/min"/>
    <tableColumn id="13" name="单车最大趟数"/>
    <tableColumn id="14" name="路线总能力/趟"/>
    <tableColumn id="15" name="车辆利用率"/>
    <tableColumn id="16" name="同路线不等待上限/辆"/>
    <tableColumn id="17" name="不等待约束"/>
    <tableColumn id="18" name="矿石品位/%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umpCheckTable" displayName="DumpCheckTable" ref="A4:K14" headerRowCount="1">
  <autoFilter ref="A4:K14"/>
  <tableColumns count="11">
    <tableColumn id="1" name="模型"/>
    <tableColumn id="2" name="卸点"/>
    <tableColumn id="3" name="卸点类型"/>
    <tableColumn id="4" name="实际趟数/趟"/>
    <tableColumn id="5" name="实际产量/万吨"/>
    <tableColumn id="6" name="要求产量/万吨"/>
    <tableColumn id="7" name="超额产量/万吨"/>
    <tableColumn id="8" name="完成率"/>
    <tableColumn id="9" name="卸点最大卸车能力/趟"/>
    <tableColumn id="10" name="卸点能力利用率"/>
    <tableColumn id="11" name="是否满足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GradeCheckTable" displayName="GradeCheckTable" ref="A4:K10" headerRowCount="1">
  <autoFilter ref="A4:K10"/>
  <tableColumns count="11">
    <tableColumn id="1" name="模型"/>
    <tableColumn id="2" name="矿石卸点"/>
    <tableColumn id="3" name="矿石运输趟数/趟"/>
    <tableColumn id="4" name="矿石产量/万吨"/>
    <tableColumn id="5" name="平均品位/%"/>
    <tableColumn id="6" name="目标品位/%"/>
    <tableColumn id="7" name="下限/%"/>
    <tableColumn id="8" name="上限/%"/>
    <tableColumn id="9" name="距下限/%"/>
    <tableColumn id="10" name="距上限/%"/>
    <tableColumn id="11" name="是否满足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hovelUsageTable" displayName="ShovelUsageTable" ref="A4:O24" headerRowCount="1">
  <autoFilter ref="A4:O24"/>
  <tableColumns count="15">
    <tableColumn id="1" name="模型"/>
    <tableColumn id="2" name="铲位"/>
    <tableColumn id="3" name="是否布置电铲"/>
    <tableColumn id="4" name="矿石趟数/趟"/>
    <tableColumn id="5" name="岩石趟数/趟"/>
    <tableColumn id="6" name="总运输趟数/趟"/>
    <tableColumn id="7" name="电铲最大装车能力/趟"/>
    <tableColumn id="8" name="电铲利用率"/>
    <tableColumn id="9" name="使用矿石/万吨"/>
    <tableColumn id="10" name="矿石储量/万吨"/>
    <tableColumn id="11" name="矿石使用率"/>
    <tableColumn id="12" name="使用岩石/万吨"/>
    <tableColumn id="13" name="岩石储量/万吨"/>
    <tableColumn id="14" name="岩石使用率"/>
    <tableColumn id="15" name="矿石品位/%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VehicleRouteTable" displayName="VehicleRouteTable" ref="A4:Q31" headerRowCount="1">
  <autoFilter ref="A4:Q31"/>
  <tableColumns count="17">
    <tableColumn id="1" name="模型"/>
    <tableColumn id="2" name="铲位"/>
    <tableColumn id="3" name="卸点"/>
    <tableColumn id="4" name="运输物料"/>
    <tableColumn id="5" name="距离/km"/>
    <tableColumn id="6" name="车辆数/辆"/>
    <tableColumn id="7" name="运输趟数/趟"/>
    <tableColumn id="8" name="单车最大趟数"/>
    <tableColumn id="9" name="路线总能力/趟"/>
    <tableColumn id="10" name="车辆利用率"/>
    <tableColumn id="11" name="循环时间/min"/>
    <tableColumn id="12" name="运输量/万吨"/>
    <tableColumn id="13" name="单趟吨公里"/>
    <tableColumn id="14" name="总运量/吨公里"/>
    <tableColumn id="15" name="装车耗时/min"/>
    <tableColumn id="16" name="卸车耗时/min"/>
    <tableColumn id="17" name="不等待约束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aramTable" displayName="ParamTable" ref="A4:C16" headerRowCount="1">
  <autoFilter ref="A4:C16"/>
  <tableColumns count="3">
    <tableColumn id="1" name="参数"/>
    <tableColumn id="2" name="数值"/>
    <tableColumn id="3" name="单位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awShovelTable" displayName="RawShovelTable" ref="A19:D29" headerRowCount="1">
  <autoFilter ref="A19:D29"/>
  <tableColumns count="4">
    <tableColumn id="1" name="铲位"/>
    <tableColumn id="2" name="矿石量/万吨"/>
    <tableColumn id="3" name="岩石量/万吨"/>
    <tableColumn id="4" name="矿石品位/%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awDumpTable" displayName="RawDumpTable" ref="A33:C38" headerRowCount="1">
  <autoFilter ref="A33:C38"/>
  <tableColumns count="3">
    <tableColumn id="1" name="卸点"/>
    <tableColumn id="2" name="卸点类型"/>
    <tableColumn id="3" name="需求产量/万吨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istanceTable" displayName="DistanceTable" ref="A42:F52" headerRowCount="1">
  <autoFilter ref="A42:F52"/>
  <tableColumns count="6">
    <tableColumn id="1" name="铲位"/>
    <tableColumn id="2" name="矿石漏"/>
    <tableColumn id="3" name="倒装场I"/>
    <tableColumn id="4" name="倒装场II"/>
    <tableColumn id="5" name="岩石漏"/>
    <tableColumn id="6" name="岩场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ModelNotesTable" displayName="ModelNotesTable" ref="A4:B15" headerRowCount="1">
  <autoFilter ref="A4:B15"/>
  <tableColumns count="2">
    <tableColumn id="1" name="模块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table" Target="/xl/tables/table9.xml" Id="rId2" /><Relationship Type="http://schemas.openxmlformats.org/officeDocument/2006/relationships/table" Target="/xl/tables/table10.xml" Id="rId3" /><Relationship Type="http://schemas.openxmlformats.org/officeDocument/2006/relationships/table" Target="/xl/tables/table11.xml" Id="rId4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露天矿生产车辆安排模型求解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>
        <is>
          <t>包含模型1与模型2的关键指标、产量对比、车辆利用与卸点完成情况。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4" t="inlineStr">
        <is>
          <t>模型1最小总运量</t>
        </is>
      </c>
      <c r="B4" s="2" t="n"/>
      <c r="C4" s="2" t="n"/>
      <c r="D4" s="4" t="inlineStr">
        <is>
          <t>模型1使用卡车</t>
        </is>
      </c>
      <c r="E4" s="2" t="n"/>
      <c r="F4" s="2" t="n"/>
      <c r="G4" s="4" t="inlineStr">
        <is>
          <t>模型2总产量</t>
        </is>
      </c>
      <c r="H4" s="2" t="n"/>
      <c r="I4" s="2" t="n"/>
      <c r="J4" s="2" t="n"/>
      <c r="K4" s="2" t="n"/>
      <c r="L4" s="2" t="n"/>
    </row>
    <row r="5" ht="22" customHeight="1">
      <c r="A5" s="5" t="n">
        <v>85628.62</v>
      </c>
      <c r="B5" s="2" t="n"/>
      <c r="C5" s="2" t="n"/>
      <c r="D5" s="5" t="n">
        <v>19</v>
      </c>
      <c r="E5" s="2" t="n"/>
      <c r="F5" s="2" t="n"/>
      <c r="G5" s="6" t="n">
        <v>9.440200000000001</v>
      </c>
      <c r="H5" s="2" t="n"/>
      <c r="I5" s="2" t="n"/>
      <c r="J5" s="2" t="n"/>
      <c r="K5" s="2" t="n"/>
      <c r="L5" s="2" t="n"/>
    </row>
    <row r="6" ht="22" customHeight="1">
      <c r="A6" s="7" t="inlineStr">
        <is>
          <t>吨公里</t>
        </is>
      </c>
      <c r="B6" s="2" t="n"/>
      <c r="C6" s="2" t="n"/>
      <c r="D6" s="7" t="inlineStr">
        <is>
          <t>辆</t>
        </is>
      </c>
      <c r="E6" s="2" t="n"/>
      <c r="F6" s="2" t="n"/>
      <c r="G6" s="7" t="inlineStr">
        <is>
          <t>万吨</t>
        </is>
      </c>
      <c r="H6" s="2" t="n"/>
      <c r="I6" s="2" t="n"/>
      <c r="J6" s="2" t="n"/>
      <c r="K6" s="2" t="n"/>
      <c r="L6" s="2" t="n"/>
    </row>
    <row r="7" ht="22" customHeight="1">
      <c r="A7" s="4" t="inlineStr">
        <is>
          <t>模型2岩石产量</t>
        </is>
      </c>
      <c r="B7" s="2" t="n"/>
      <c r="C7" s="2" t="n"/>
      <c r="D7" s="4" t="inlineStr">
        <is>
          <t>模型2使用卡车</t>
        </is>
      </c>
      <c r="E7" s="2" t="n"/>
      <c r="F7" s="2" t="n"/>
      <c r="G7" s="4" t="inlineStr">
        <is>
          <t>模型2总运量</t>
        </is>
      </c>
      <c r="H7" s="2" t="n"/>
      <c r="I7" s="2" t="n"/>
      <c r="J7" s="2" t="n"/>
      <c r="K7" s="2" t="n"/>
      <c r="L7" s="2" t="n"/>
    </row>
    <row r="8" ht="22" customHeight="1">
      <c r="A8" s="6" t="n">
        <v>4.928</v>
      </c>
      <c r="B8" s="2" t="n"/>
      <c r="C8" s="2" t="n"/>
      <c r="D8" s="8" t="n">
        <v>20</v>
      </c>
      <c r="E8" s="2" t="n"/>
      <c r="F8" s="2" t="n"/>
      <c r="G8" s="8" t="n">
        <v>144619.86</v>
      </c>
      <c r="H8" s="2" t="n"/>
      <c r="I8" s="2" t="n"/>
      <c r="J8" s="2" t="n"/>
      <c r="K8" s="2" t="n"/>
      <c r="L8" s="2" t="n"/>
    </row>
    <row r="9" ht="22" customHeight="1">
      <c r="A9" s="7" t="inlineStr">
        <is>
          <t>万吨</t>
        </is>
      </c>
      <c r="B9" s="2" t="n"/>
      <c r="C9" s="2" t="n"/>
      <c r="D9" s="7" t="inlineStr">
        <is>
          <t>辆</t>
        </is>
      </c>
      <c r="E9" s="2" t="n"/>
      <c r="F9" s="2" t="n"/>
      <c r="G9" s="7" t="inlineStr">
        <is>
          <t>吨公里</t>
        </is>
      </c>
      <c r="H9" s="2" t="n"/>
      <c r="I9" s="2" t="n"/>
      <c r="J9" s="2" t="n"/>
      <c r="K9" s="2" t="n"/>
      <c r="L9" s="2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22" customHeight="1">
      <c r="A11" s="9" t="inlineStr">
        <is>
          <t>指标</t>
        </is>
      </c>
      <c r="B11" s="9" t="inlineStr">
        <is>
          <t>模型1</t>
        </is>
      </c>
      <c r="C11" s="9" t="inlineStr">
        <is>
          <t>模型2</t>
        </is>
      </c>
      <c r="D11" s="2" t="n"/>
      <c r="E11" s="9" t="inlineStr">
        <is>
          <t>卸点</t>
        </is>
      </c>
      <c r="F11" s="9" t="inlineStr">
        <is>
          <t>实际产量/万吨</t>
        </is>
      </c>
      <c r="G11" s="9" t="inlineStr">
        <is>
          <t>要求产量/万吨</t>
        </is>
      </c>
      <c r="H11" s="2" t="n"/>
      <c r="I11" s="2" t="n"/>
      <c r="J11" s="2" t="n"/>
      <c r="K11" s="2" t="n"/>
      <c r="L11" s="2" t="n"/>
    </row>
    <row r="12" ht="22" customHeight="1">
      <c r="A12" s="10" t="inlineStr">
        <is>
          <t>矿石产量/万吨</t>
        </is>
      </c>
      <c r="B12" s="11" t="n">
        <v>3.8192</v>
      </c>
      <c r="C12" s="11" t="n">
        <v>4.5122</v>
      </c>
      <c r="D12" s="2" t="n"/>
      <c r="E12" s="10" t="inlineStr">
        <is>
          <t>矿石漏</t>
        </is>
      </c>
      <c r="F12" s="11" t="n">
        <v>1.3706</v>
      </c>
      <c r="G12" s="11" t="n">
        <v>1.2</v>
      </c>
      <c r="H12" s="2" t="n"/>
      <c r="I12" s="2" t="n"/>
      <c r="J12" s="2" t="n"/>
      <c r="K12" s="2" t="n"/>
      <c r="L12" s="2" t="n"/>
    </row>
    <row r="13" ht="22" customHeight="1">
      <c r="A13" s="10" t="inlineStr">
        <is>
          <t>岩石产量/万吨</t>
        </is>
      </c>
      <c r="B13" s="11" t="n">
        <v>3.2186</v>
      </c>
      <c r="C13" s="11" t="n">
        <v>4.928</v>
      </c>
      <c r="D13" s="2" t="n"/>
      <c r="E13" s="10" t="inlineStr">
        <is>
          <t>倒装场I</t>
        </is>
      </c>
      <c r="F13" s="11" t="n">
        <v>1.6786</v>
      </c>
      <c r="G13" s="11" t="n">
        <v>1.3</v>
      </c>
      <c r="H13" s="2" t="n"/>
      <c r="I13" s="2" t="n"/>
      <c r="J13" s="2" t="n"/>
      <c r="K13" s="2" t="n"/>
      <c r="L13" s="2" t="n"/>
    </row>
    <row r="14" ht="22" customHeight="1">
      <c r="A14" s="10" t="inlineStr">
        <is>
          <t>总产量/万吨</t>
        </is>
      </c>
      <c r="B14" s="11" t="n">
        <v>7.0378</v>
      </c>
      <c r="C14" s="11" t="n">
        <v>9.440200000000001</v>
      </c>
      <c r="D14" s="2" t="n"/>
      <c r="E14" s="10" t="inlineStr">
        <is>
          <t>倒装场II</t>
        </is>
      </c>
      <c r="F14" s="11" t="n">
        <v>1.463</v>
      </c>
      <c r="G14" s="11" t="n">
        <v>1.3</v>
      </c>
      <c r="H14" s="2" t="n"/>
      <c r="I14" s="2" t="n"/>
      <c r="J14" s="2" t="n"/>
      <c r="K14" s="2" t="n"/>
      <c r="L14" s="2" t="n"/>
    </row>
    <row r="15" ht="22" customHeight="1">
      <c r="A15" s="2" t="n"/>
      <c r="B15" s="2" t="n"/>
      <c r="C15" s="2" t="n"/>
      <c r="D15" s="2" t="n"/>
      <c r="E15" s="10" t="inlineStr">
        <is>
          <t>岩石漏</t>
        </is>
      </c>
      <c r="F15" s="11" t="n">
        <v>2.464</v>
      </c>
      <c r="G15" s="11" t="n">
        <v>1.9</v>
      </c>
      <c r="H15" s="2" t="n"/>
      <c r="I15" s="2" t="n"/>
      <c r="J15" s="2" t="n"/>
      <c r="K15" s="2" t="n"/>
      <c r="L15" s="2" t="n"/>
    </row>
    <row r="16" ht="22" customHeight="1">
      <c r="A16" s="2" t="n"/>
      <c r="B16" s="2" t="n"/>
      <c r="C16" s="2" t="n"/>
      <c r="D16" s="2" t="n"/>
      <c r="E16" s="10" t="inlineStr">
        <is>
          <t>岩场</t>
        </is>
      </c>
      <c r="F16" s="11" t="n">
        <v>2.464</v>
      </c>
      <c r="G16" s="11" t="n">
        <v>1.3</v>
      </c>
      <c r="H16" s="2" t="n"/>
      <c r="I16" s="2" t="n"/>
      <c r="J16" s="2" t="n"/>
      <c r="K16" s="2" t="n"/>
      <c r="L16" s="2" t="n"/>
    </row>
    <row r="17" ht="22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 ht="22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 ht="22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 ht="22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 ht="22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 ht="22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 ht="22" customHeight="1">
      <c r="A27" s="9" t="inlineStr">
        <is>
          <t>关键结论</t>
        </is>
      </c>
      <c r="B27" s="12" t="inlineStr">
        <is>
          <t>说明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 ht="22" customHeight="1">
      <c r="A28" s="10" t="inlineStr">
        <is>
          <t>模型1</t>
        </is>
      </c>
      <c r="B28" s="13" t="inlineStr">
        <is>
          <t>在满足产量与品位要求的前提下，总运量最小，使用19辆卡车。</t>
        </is>
      </c>
      <c r="C28" s="14" t="n"/>
      <c r="D28" s="14" t="n"/>
      <c r="E28" s="14" t="n"/>
      <c r="F28" s="15" t="n"/>
      <c r="G28" s="2" t="n"/>
      <c r="H28" s="2" t="n"/>
      <c r="I28" s="2" t="n"/>
      <c r="J28" s="2" t="n"/>
      <c r="K28" s="2" t="n"/>
      <c r="L28" s="2" t="n"/>
    </row>
    <row r="29" ht="22" customHeight="1">
      <c r="A29" s="10" t="inlineStr">
        <is>
          <t>模型2</t>
        </is>
      </c>
      <c r="B29" s="13" t="inlineStr">
        <is>
          <t>利用20辆卡车最大化产量，岩石运输达到320趟，两个岩石卸点卸车能力均用满。</t>
        </is>
      </c>
      <c r="C29" s="14" t="n"/>
      <c r="D29" s="14" t="n"/>
      <c r="E29" s="14" t="n"/>
      <c r="F29" s="15" t="n"/>
      <c r="G29" s="2" t="n"/>
      <c r="H29" s="2" t="n"/>
      <c r="I29" s="2" t="n"/>
      <c r="J29" s="2" t="n"/>
      <c r="K29" s="2" t="n"/>
      <c r="L29" s="2" t="n"/>
    </row>
    <row r="30" ht="22" customHeight="1">
      <c r="A30" s="10" t="inlineStr">
        <is>
          <t>品位</t>
        </is>
      </c>
      <c r="B30" s="13" t="inlineStr">
        <is>
          <t>两个模型的矿石卸点平均品位均控制在28.5%至30.5%范围内。</t>
        </is>
      </c>
      <c r="C30" s="14" t="n"/>
      <c r="D30" s="14" t="n"/>
      <c r="E30" s="14" t="n"/>
      <c r="F30" s="15" t="n"/>
      <c r="G30" s="2" t="n"/>
      <c r="H30" s="2" t="n"/>
      <c r="I30" s="2" t="n"/>
      <c r="J30" s="2" t="n"/>
      <c r="K30" s="2" t="n"/>
      <c r="L30" s="2" t="n"/>
    </row>
    <row r="31" ht="22" customHeight="1">
      <c r="A31" s="10" t="inlineStr">
        <is>
          <t>资源</t>
        </is>
      </c>
      <c r="B31" s="13" t="inlineStr">
        <is>
          <t>模型2总产量更高，但总运量和运输强度也相应增加。</t>
        </is>
      </c>
      <c r="C31" s="14" t="n"/>
      <c r="D31" s="14" t="n"/>
      <c r="E31" s="14" t="n"/>
      <c r="F31" s="15" t="n"/>
      <c r="G31" s="2" t="n"/>
      <c r="H31" s="2" t="n"/>
      <c r="I31" s="2" t="n"/>
      <c r="J31" s="2" t="n"/>
      <c r="K31" s="2" t="n"/>
      <c r="L31" s="2" t="n"/>
    </row>
  </sheetData>
  <autoFilter ref="E11:G16"/>
  <mergeCells count="24">
    <mergeCell ref="B31:F31"/>
    <mergeCell ref="G8:H8"/>
    <mergeCell ref="A6:B6"/>
    <mergeCell ref="D6:E6"/>
    <mergeCell ref="A2:L2"/>
    <mergeCell ref="A7:B7"/>
    <mergeCell ref="G7:H7"/>
    <mergeCell ref="G6:H6"/>
    <mergeCell ref="B29:F29"/>
    <mergeCell ref="D7:E7"/>
    <mergeCell ref="B28:F28"/>
    <mergeCell ref="A5:B5"/>
    <mergeCell ref="G5:H5"/>
    <mergeCell ref="D4:E4"/>
    <mergeCell ref="D9:E9"/>
    <mergeCell ref="A8:B8"/>
    <mergeCell ref="A4:B4"/>
    <mergeCell ref="G4:H4"/>
    <mergeCell ref="D8:E8"/>
    <mergeCell ref="B30:F30"/>
    <mergeCell ref="A1:L1"/>
    <mergeCell ref="D5:E5"/>
    <mergeCell ref="A9:B9"/>
    <mergeCell ref="G9:H9"/>
  </mergeCells>
  <pageMargins left="0.3" right="0.3" top="0.5" bottom="0.5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1" customWidth="1" min="3" max="3"/>
    <col width="10" customWidth="1" min="4" max="4"/>
    <col width="10" customWidth="1" min="5" max="5"/>
    <col width="25" customWidth="1" min="6" max="6"/>
    <col width="10" customWidth="1" min="7" max="7"/>
    <col width="10" customWidth="1" min="8" max="8"/>
  </cols>
  <sheetData>
    <row r="1" ht="22" customHeight="1">
      <c r="A1" s="1" t="inlineStr">
        <is>
          <t>模型1与模型2结果对比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模型1侧重运输成本最小；模型2侧重利用现有车辆获得最大产量。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9" t="inlineStr">
        <is>
          <t>指标</t>
        </is>
      </c>
      <c r="B4" s="9" t="inlineStr">
        <is>
          <t>模型1</t>
        </is>
      </c>
      <c r="C4" s="9" t="inlineStr">
        <is>
          <t>模型2</t>
        </is>
      </c>
      <c r="D4" s="9" t="inlineStr">
        <is>
          <t>模型2-模型1</t>
        </is>
      </c>
      <c r="E4" s="9" t="inlineStr">
        <is>
          <t>变化率</t>
        </is>
      </c>
      <c r="F4" s="9" t="inlineStr">
        <is>
          <t>解释</t>
        </is>
      </c>
      <c r="G4" s="2" t="n"/>
      <c r="H4" s="2" t="n"/>
    </row>
    <row r="5" ht="22" customHeight="1">
      <c r="A5" s="10" t="inlineStr">
        <is>
          <t>总产量/万吨</t>
        </is>
      </c>
      <c r="B5" s="11" t="n">
        <v>7.0378</v>
      </c>
      <c r="C5" s="11" t="n">
        <v>9.440200000000001</v>
      </c>
      <c r="D5" s="11" t="n">
        <v>2.4024</v>
      </c>
      <c r="E5" s="16" t="n">
        <v>0.3414</v>
      </c>
      <c r="F5" s="10" t="inlineStr">
        <is>
          <t>模型2利用20辆车增产效果明显</t>
        </is>
      </c>
      <c r="G5" s="2" t="n"/>
      <c r="H5" s="2" t="n"/>
    </row>
    <row r="6" ht="22" customHeight="1">
      <c r="A6" s="10" t="inlineStr">
        <is>
          <t>矿石产量/万吨</t>
        </is>
      </c>
      <c r="B6" s="11" t="n">
        <v>3.8192</v>
      </c>
      <c r="C6" s="11" t="n">
        <v>4.5122</v>
      </c>
      <c r="D6" s="11" t="n">
        <v>0.6929999999999999</v>
      </c>
      <c r="E6" s="16" t="n">
        <v>0.1815</v>
      </c>
      <c r="F6" s="10" t="inlineStr">
        <is>
          <t>用于模型结果横向比较</t>
        </is>
      </c>
      <c r="G6" s="2" t="n"/>
      <c r="H6" s="2" t="n"/>
    </row>
    <row r="7" ht="22" customHeight="1">
      <c r="A7" s="10" t="inlineStr">
        <is>
          <t>岩石产量/万吨</t>
        </is>
      </c>
      <c r="B7" s="11" t="n">
        <v>3.2186</v>
      </c>
      <c r="C7" s="11" t="n">
        <v>4.928</v>
      </c>
      <c r="D7" s="11" t="n">
        <v>1.7094</v>
      </c>
      <c r="E7" s="16" t="n">
        <v>0.5311</v>
      </c>
      <c r="F7" s="10" t="inlineStr">
        <is>
          <t>模型2以岩石产量优先，达到两个岩石卸点能力上限</t>
        </is>
      </c>
      <c r="G7" s="2" t="n"/>
      <c r="H7" s="2" t="n"/>
    </row>
    <row r="8" ht="22" customHeight="1">
      <c r="A8" s="10" t="inlineStr">
        <is>
          <t>总运输趟数/趟</t>
        </is>
      </c>
      <c r="B8" s="10" t="n">
        <v>457</v>
      </c>
      <c r="C8" s="10" t="n">
        <v>613</v>
      </c>
      <c r="D8" s="10" t="n">
        <v>156</v>
      </c>
      <c r="E8" s="16" t="n">
        <v>0.3414</v>
      </c>
      <c r="F8" s="10" t="inlineStr">
        <is>
          <t>用于模型结果横向比较</t>
        </is>
      </c>
      <c r="G8" s="2" t="n"/>
      <c r="H8" s="2" t="n"/>
    </row>
    <row r="9" ht="22" customHeight="1">
      <c r="A9" s="10" t="inlineStr">
        <is>
          <t>总运量/吨公里</t>
        </is>
      </c>
      <c r="B9" s="11" t="n">
        <v>85628.62</v>
      </c>
      <c r="C9" s="11" t="n">
        <v>144619.86</v>
      </c>
      <c r="D9" s="11" t="n">
        <v>58991.24</v>
      </c>
      <c r="E9" s="16" t="n">
        <v>0.6889</v>
      </c>
      <c r="F9" s="10" t="inlineStr">
        <is>
          <t>模型2产量更高，总运量也相应增加</t>
        </is>
      </c>
      <c r="G9" s="2" t="n"/>
      <c r="H9" s="2" t="n"/>
    </row>
    <row r="10" ht="22" customHeight="1">
      <c r="A10" s="10" t="inlineStr">
        <is>
          <t>使用卡车数/辆</t>
        </is>
      </c>
      <c r="B10" s="10" t="n">
        <v>19</v>
      </c>
      <c r="C10" s="10" t="n">
        <v>20</v>
      </c>
      <c r="D10" s="10" t="n">
        <v>1</v>
      </c>
      <c r="E10" s="16" t="n">
        <v>0.0526</v>
      </c>
      <c r="F10" s="10" t="inlineStr">
        <is>
          <t>模型2用满20辆车，模型1仅需19辆</t>
        </is>
      </c>
      <c r="G10" s="2" t="n"/>
      <c r="H10" s="2" t="n"/>
    </row>
    <row r="11" ht="22" customHeight="1">
      <c r="A11" s="10" t="inlineStr">
        <is>
          <t>使用电铲数/台</t>
        </is>
      </c>
      <c r="B11" s="10" t="n">
        <v>7</v>
      </c>
      <c r="C11" s="10" t="n">
        <v>7</v>
      </c>
      <c r="D11" s="10" t="n">
        <v>0</v>
      </c>
      <c r="E11" s="16" t="n">
        <v>0</v>
      </c>
      <c r="F11" s="10" t="inlineStr">
        <is>
          <t>用于模型结果横向比较</t>
        </is>
      </c>
      <c r="G11" s="2" t="n"/>
      <c r="H11" s="2" t="n"/>
    </row>
    <row r="12" ht="22" customHeight="1">
      <c r="A12" s="10" t="inlineStr">
        <is>
          <t>平均运输距离/km</t>
        </is>
      </c>
      <c r="B12" s="11" t="n">
        <v>1.2167</v>
      </c>
      <c r="C12" s="11" t="n">
        <v>1.532</v>
      </c>
      <c r="D12" s="11" t="n">
        <v>0.3153</v>
      </c>
      <c r="E12" s="16" t="n">
        <v>0.2591</v>
      </c>
      <c r="F12" s="10" t="inlineStr">
        <is>
          <t>用于模型结果横向比较</t>
        </is>
      </c>
      <c r="G12" s="2" t="n"/>
      <c r="H12" s="2" t="n"/>
    </row>
    <row r="13" ht="22" customHeight="1">
      <c r="A13" s="10" t="inlineStr">
        <is>
          <t>岩石产量占比</t>
        </is>
      </c>
      <c r="B13" s="11" t="n">
        <v>0.4573</v>
      </c>
      <c r="C13" s="11" t="n">
        <v>0.522</v>
      </c>
      <c r="D13" s="11" t="n">
        <v>0.06469999999999999</v>
      </c>
      <c r="E13" s="16" t="n">
        <v>0.1415</v>
      </c>
      <c r="F13" s="10" t="inlineStr">
        <is>
          <t>用于模型结果横向比较</t>
        </is>
      </c>
      <c r="G13" s="2" t="n"/>
      <c r="H13" s="2" t="n"/>
    </row>
    <row r="14" ht="22" customHeight="1">
      <c r="A14" s="10" t="inlineStr">
        <is>
          <t>吨公里强度/吨公里每万吨</t>
        </is>
      </c>
      <c r="B14" s="11" t="n">
        <v>12166.96</v>
      </c>
      <c r="C14" s="11" t="n">
        <v>15319.58</v>
      </c>
      <c r="D14" s="11" t="n">
        <v>3152.62</v>
      </c>
      <c r="E14" s="16" t="n">
        <v>0.2591</v>
      </c>
      <c r="F14" s="10" t="inlineStr">
        <is>
          <t>可用于比较单位产量运输成本</t>
        </is>
      </c>
      <c r="G14" s="2" t="n"/>
      <c r="H14" s="2" t="n"/>
    </row>
  </sheetData>
  <autoFilter ref="A4:F14"/>
  <mergeCells count="2">
    <mergeCell ref="A2:H2"/>
    <mergeCell ref="A1:H1"/>
  </mergeCells>
  <conditionalFormatting sqref="E5:E14">
    <cfRule type="dataBar" priority="1">
      <dataBar showValue="1">
        <cfvo type="num" val="0"/>
        <cfvo type="num" val="1"/>
        <color rgb="0063C384"/>
      </dataBar>
    </cfRule>
  </conditionalFormatting>
  <pageMargins left="0.3" right="0.3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</cols>
  <sheetData>
    <row r="1" ht="22" customHeight="1">
      <c r="A1" s="1" t="inlineStr">
        <is>
          <t>模型1生产计划：总运量最小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2" customHeight="1">
      <c r="A2" s="3" t="inlineStr">
        <is>
          <t>本表列出模型1的电铲布置、运输路线、车辆数、趟数、运输量和路线能力利用率。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 ht="22" customHeight="1">
      <c r="A4" s="9" t="inlineStr">
        <is>
          <t>模型</t>
        </is>
      </c>
      <c r="B4" s="9" t="inlineStr">
        <is>
          <t>铲位</t>
        </is>
      </c>
      <c r="C4" s="9" t="inlineStr">
        <is>
          <t>卸点</t>
        </is>
      </c>
      <c r="D4" s="9" t="inlineStr">
        <is>
          <t>卸点类型</t>
        </is>
      </c>
      <c r="E4" s="9" t="inlineStr">
        <is>
          <t>运输物料</t>
        </is>
      </c>
      <c r="F4" s="9" t="inlineStr">
        <is>
          <t>距离/km</t>
        </is>
      </c>
      <c r="G4" s="9" t="inlineStr">
        <is>
          <t>车辆数/辆</t>
        </is>
      </c>
      <c r="H4" s="9" t="inlineStr">
        <is>
          <t>运输趟数/趟</t>
        </is>
      </c>
      <c r="I4" s="9" t="inlineStr">
        <is>
          <t>运输量/万吨</t>
        </is>
      </c>
      <c r="J4" s="9" t="inlineStr">
        <is>
          <t>单趟吨公里</t>
        </is>
      </c>
      <c r="K4" s="9" t="inlineStr">
        <is>
          <t>总运量/吨公里</t>
        </is>
      </c>
      <c r="L4" s="9" t="inlineStr">
        <is>
          <t>循环时间/min</t>
        </is>
      </c>
      <c r="M4" s="9" t="inlineStr">
        <is>
          <t>单车最大趟数</t>
        </is>
      </c>
      <c r="N4" s="9" t="inlineStr">
        <is>
          <t>路线总能力/趟</t>
        </is>
      </c>
      <c r="O4" s="9" t="inlineStr">
        <is>
          <t>车辆利用率</t>
        </is>
      </c>
      <c r="P4" s="9" t="inlineStr">
        <is>
          <t>同路线不等待上限/辆</t>
        </is>
      </c>
      <c r="Q4" s="9" t="inlineStr">
        <is>
          <t>不等待约束</t>
        </is>
      </c>
      <c r="R4" s="9" t="inlineStr">
        <is>
          <t>矿石品位/%</t>
        </is>
      </c>
    </row>
    <row r="5" ht="22" customHeight="1">
      <c r="A5" s="10" t="inlineStr">
        <is>
          <t>模型1_总运量最小</t>
        </is>
      </c>
      <c r="B5" s="10" t="inlineStr">
        <is>
          <t>铲位1</t>
        </is>
      </c>
      <c r="C5" s="10" t="inlineStr">
        <is>
          <t>岩石漏</t>
        </is>
      </c>
      <c r="D5" s="10" t="inlineStr">
        <is>
          <t>岩石卸点</t>
        </is>
      </c>
      <c r="E5" s="10" t="inlineStr">
        <is>
          <t>岩石</t>
        </is>
      </c>
      <c r="F5" s="17" t="n">
        <v>0.64</v>
      </c>
      <c r="G5" s="10" t="n">
        <v>2</v>
      </c>
      <c r="H5" s="10" t="n">
        <v>81</v>
      </c>
      <c r="I5" s="11" t="n">
        <v>1.2474</v>
      </c>
      <c r="J5" s="17" t="n">
        <v>98.56</v>
      </c>
      <c r="K5" s="17" t="n">
        <v>7983.36</v>
      </c>
      <c r="L5" s="17" t="n">
        <v>10.74</v>
      </c>
      <c r="M5" s="10" t="n">
        <v>44</v>
      </c>
      <c r="N5" s="10" t="n">
        <v>88</v>
      </c>
      <c r="O5" s="16" t="n">
        <v>0.9205</v>
      </c>
      <c r="P5" s="10" t="n">
        <v>2</v>
      </c>
      <c r="Q5" s="18" t="inlineStr">
        <is>
          <t>满足</t>
        </is>
      </c>
      <c r="R5" s="10" t="inlineStr"/>
    </row>
    <row r="6" ht="22" customHeight="1">
      <c r="A6" s="10" t="inlineStr">
        <is>
          <t>模型1_总运量最小</t>
        </is>
      </c>
      <c r="B6" s="10" t="inlineStr">
        <is>
          <t>铲位2</t>
        </is>
      </c>
      <c r="C6" s="10" t="inlineStr">
        <is>
          <t>矿石漏</t>
        </is>
      </c>
      <c r="D6" s="10" t="inlineStr">
        <is>
          <t>矿石卸点</t>
        </is>
      </c>
      <c r="E6" s="10" t="inlineStr">
        <is>
          <t>矿石</t>
        </is>
      </c>
      <c r="F6" s="17" t="n">
        <v>5.19</v>
      </c>
      <c r="G6" s="10" t="n">
        <v>1</v>
      </c>
      <c r="H6" s="10" t="n">
        <v>13</v>
      </c>
      <c r="I6" s="11" t="n">
        <v>0.2002</v>
      </c>
      <c r="J6" s="17" t="n">
        <v>799.26</v>
      </c>
      <c r="K6" s="17" t="n">
        <v>10390.38</v>
      </c>
      <c r="L6" s="17" t="n">
        <v>30.24</v>
      </c>
      <c r="M6" s="10" t="n">
        <v>15</v>
      </c>
      <c r="N6" s="10" t="n">
        <v>15</v>
      </c>
      <c r="O6" s="16" t="n">
        <v>0.8667</v>
      </c>
      <c r="P6" s="10" t="n">
        <v>6</v>
      </c>
      <c r="Q6" s="18" t="inlineStr">
        <is>
          <t>满足</t>
        </is>
      </c>
      <c r="R6" s="11" t="n">
        <v>28</v>
      </c>
    </row>
    <row r="7" ht="22" customHeight="1">
      <c r="A7" s="10" t="inlineStr">
        <is>
          <t>模型1_总运量最小</t>
        </is>
      </c>
      <c r="B7" s="10" t="inlineStr">
        <is>
          <t>铲位2</t>
        </is>
      </c>
      <c r="C7" s="10" t="inlineStr">
        <is>
          <t>倒装场I</t>
        </is>
      </c>
      <c r="D7" s="10" t="inlineStr">
        <is>
          <t>矿石卸点</t>
        </is>
      </c>
      <c r="E7" s="10" t="inlineStr">
        <is>
          <t>矿石</t>
        </is>
      </c>
      <c r="F7" s="17" t="n">
        <v>0.99</v>
      </c>
      <c r="G7" s="10" t="n">
        <v>2</v>
      </c>
      <c r="H7" s="10" t="n">
        <v>42</v>
      </c>
      <c r="I7" s="11" t="n">
        <v>0.6468</v>
      </c>
      <c r="J7" s="17" t="n">
        <v>152.46</v>
      </c>
      <c r="K7" s="17" t="n">
        <v>6403.32</v>
      </c>
      <c r="L7" s="17" t="n">
        <v>12.24</v>
      </c>
      <c r="M7" s="10" t="n">
        <v>39</v>
      </c>
      <c r="N7" s="10" t="n">
        <v>78</v>
      </c>
      <c r="O7" s="16" t="n">
        <v>0.5385</v>
      </c>
      <c r="P7" s="10" t="n">
        <v>2</v>
      </c>
      <c r="Q7" s="18" t="inlineStr">
        <is>
          <t>满足</t>
        </is>
      </c>
      <c r="R7" s="11" t="n">
        <v>28</v>
      </c>
    </row>
    <row r="8" ht="22" customHeight="1">
      <c r="A8" s="10" t="inlineStr">
        <is>
          <t>模型1_总运量最小</t>
        </is>
      </c>
      <c r="B8" s="10" t="inlineStr">
        <is>
          <t>铲位2</t>
        </is>
      </c>
      <c r="C8" s="10" t="inlineStr">
        <is>
          <t>倒装场II</t>
        </is>
      </c>
      <c r="D8" s="10" t="inlineStr">
        <is>
          <t>矿石卸点</t>
        </is>
      </c>
      <c r="E8" s="10" t="inlineStr">
        <is>
          <t>矿石</t>
        </is>
      </c>
      <c r="F8" s="17" t="n">
        <v>3.86</v>
      </c>
      <c r="G8" s="10" t="n">
        <v>1</v>
      </c>
      <c r="H8" s="10" t="n">
        <v>13</v>
      </c>
      <c r="I8" s="11" t="n">
        <v>0.2002</v>
      </c>
      <c r="J8" s="17" t="n">
        <v>594.4400000000001</v>
      </c>
      <c r="K8" s="17" t="n">
        <v>7727.72</v>
      </c>
      <c r="L8" s="17" t="n">
        <v>24.54</v>
      </c>
      <c r="M8" s="10" t="n">
        <v>19</v>
      </c>
      <c r="N8" s="10" t="n">
        <v>19</v>
      </c>
      <c r="O8" s="16" t="n">
        <v>0.6842</v>
      </c>
      <c r="P8" s="10" t="n">
        <v>4</v>
      </c>
      <c r="Q8" s="18" t="inlineStr">
        <is>
          <t>满足</t>
        </is>
      </c>
      <c r="R8" s="11" t="n">
        <v>28</v>
      </c>
    </row>
    <row r="9" ht="22" customHeight="1">
      <c r="A9" s="10" t="inlineStr">
        <is>
          <t>模型1_总运量最小</t>
        </is>
      </c>
      <c r="B9" s="10" t="inlineStr">
        <is>
          <t>铲位3</t>
        </is>
      </c>
      <c r="C9" s="10" t="inlineStr">
        <is>
          <t>倒装场II</t>
        </is>
      </c>
      <c r="D9" s="10" t="inlineStr">
        <is>
          <t>矿石卸点</t>
        </is>
      </c>
      <c r="E9" s="10" t="inlineStr">
        <is>
          <t>矿石</t>
        </is>
      </c>
      <c r="F9" s="17" t="n">
        <v>3.72</v>
      </c>
      <c r="G9" s="10" t="n">
        <v>1</v>
      </c>
      <c r="H9" s="10" t="n">
        <v>2</v>
      </c>
      <c r="I9" s="11" t="n">
        <v>0.0308</v>
      </c>
      <c r="J9" s="17" t="n">
        <v>572.88</v>
      </c>
      <c r="K9" s="17" t="n">
        <v>1145.76</v>
      </c>
      <c r="L9" s="17" t="n">
        <v>23.94</v>
      </c>
      <c r="M9" s="10" t="n">
        <v>20</v>
      </c>
      <c r="N9" s="10" t="n">
        <v>20</v>
      </c>
      <c r="O9" s="16" t="n">
        <v>0.1</v>
      </c>
      <c r="P9" s="10" t="n">
        <v>4</v>
      </c>
      <c r="Q9" s="18" t="inlineStr">
        <is>
          <t>满足</t>
        </is>
      </c>
      <c r="R9" s="11" t="n">
        <v>29</v>
      </c>
    </row>
    <row r="10" ht="22" customHeight="1">
      <c r="A10" s="10" t="inlineStr">
        <is>
          <t>模型1_总运量最小</t>
        </is>
      </c>
      <c r="B10" s="10" t="inlineStr">
        <is>
          <t>铲位3</t>
        </is>
      </c>
      <c r="C10" s="10" t="inlineStr">
        <is>
          <t>岩石漏</t>
        </is>
      </c>
      <c r="D10" s="10" t="inlineStr">
        <is>
          <t>岩石卸点</t>
        </is>
      </c>
      <c r="E10" s="10" t="inlineStr">
        <is>
          <t>岩石</t>
        </is>
      </c>
      <c r="F10" s="17" t="n">
        <v>1.27</v>
      </c>
      <c r="G10" s="10" t="n">
        <v>2</v>
      </c>
      <c r="H10" s="10" t="n">
        <v>43</v>
      </c>
      <c r="I10" s="11" t="n">
        <v>0.6622</v>
      </c>
      <c r="J10" s="17" t="n">
        <v>195.58</v>
      </c>
      <c r="K10" s="17" t="n">
        <v>8409.940000000001</v>
      </c>
      <c r="L10" s="17" t="n">
        <v>13.44</v>
      </c>
      <c r="M10" s="10" t="n">
        <v>35</v>
      </c>
      <c r="N10" s="10" t="n">
        <v>70</v>
      </c>
      <c r="O10" s="16" t="n">
        <v>0.6143</v>
      </c>
      <c r="P10" s="10" t="n">
        <v>2</v>
      </c>
      <c r="Q10" s="18" t="inlineStr">
        <is>
          <t>满足</t>
        </is>
      </c>
      <c r="R10" s="10" t="inlineStr"/>
    </row>
    <row r="11" ht="22" customHeight="1">
      <c r="A11" s="10" t="inlineStr">
        <is>
          <t>模型1_总运量最小</t>
        </is>
      </c>
      <c r="B11" s="10" t="inlineStr">
        <is>
          <t>铲位4</t>
        </is>
      </c>
      <c r="C11" s="10" t="inlineStr">
        <is>
          <t>倒装场I</t>
        </is>
      </c>
      <c r="D11" s="10" t="inlineStr">
        <is>
          <t>矿石卸点</t>
        </is>
      </c>
      <c r="E11" s="10" t="inlineStr">
        <is>
          <t>矿石</t>
        </is>
      </c>
      <c r="F11" s="17" t="n">
        <v>1.13</v>
      </c>
      <c r="G11" s="10" t="n">
        <v>2</v>
      </c>
      <c r="H11" s="10" t="n">
        <v>43</v>
      </c>
      <c r="I11" s="11" t="n">
        <v>0.6622</v>
      </c>
      <c r="J11" s="17" t="n">
        <v>174.02</v>
      </c>
      <c r="K11" s="17" t="n">
        <v>7482.86</v>
      </c>
      <c r="L11" s="17" t="n">
        <v>12.84</v>
      </c>
      <c r="M11" s="10" t="n">
        <v>37</v>
      </c>
      <c r="N11" s="10" t="n">
        <v>74</v>
      </c>
      <c r="O11" s="16" t="n">
        <v>0.5810999999999999</v>
      </c>
      <c r="P11" s="10" t="n">
        <v>2</v>
      </c>
      <c r="Q11" s="18" t="inlineStr">
        <is>
          <t>满足</t>
        </is>
      </c>
      <c r="R11" s="11" t="n">
        <v>32</v>
      </c>
    </row>
    <row r="12" ht="22" customHeight="1">
      <c r="A12" s="10" t="inlineStr">
        <is>
          <t>模型1_总运量最小</t>
        </is>
      </c>
      <c r="B12" s="10" t="inlineStr">
        <is>
          <t>铲位8</t>
        </is>
      </c>
      <c r="C12" s="10" t="inlineStr">
        <is>
          <t>矿石漏</t>
        </is>
      </c>
      <c r="D12" s="10" t="inlineStr">
        <is>
          <t>矿石卸点</t>
        </is>
      </c>
      <c r="E12" s="10" t="inlineStr">
        <is>
          <t>矿石</t>
        </is>
      </c>
      <c r="F12" s="17" t="n">
        <v>1.9</v>
      </c>
      <c r="G12" s="10" t="n">
        <v>2</v>
      </c>
      <c r="H12" s="10" t="n">
        <v>54</v>
      </c>
      <c r="I12" s="11" t="n">
        <v>0.8316</v>
      </c>
      <c r="J12" s="17" t="n">
        <v>292.6</v>
      </c>
      <c r="K12" s="17" t="n">
        <v>15800.4</v>
      </c>
      <c r="L12" s="17" t="n">
        <v>16.14</v>
      </c>
      <c r="M12" s="10" t="n">
        <v>29</v>
      </c>
      <c r="N12" s="10" t="n">
        <v>58</v>
      </c>
      <c r="O12" s="16" t="n">
        <v>0.931</v>
      </c>
      <c r="P12" s="10" t="n">
        <v>3</v>
      </c>
      <c r="Q12" s="18" t="inlineStr">
        <is>
          <t>满足</t>
        </is>
      </c>
      <c r="R12" s="11" t="n">
        <v>31</v>
      </c>
    </row>
    <row r="13" ht="22" customHeight="1">
      <c r="A13" s="10" t="inlineStr">
        <is>
          <t>模型1_总运量最小</t>
        </is>
      </c>
      <c r="B13" s="10" t="inlineStr">
        <is>
          <t>铲位9</t>
        </is>
      </c>
      <c r="C13" s="10" t="inlineStr">
        <is>
          <t>岩场</t>
        </is>
      </c>
      <c r="D13" s="10" t="inlineStr">
        <is>
          <t>岩石卸点</t>
        </is>
      </c>
      <c r="E13" s="10" t="inlineStr">
        <is>
          <t>岩石</t>
        </is>
      </c>
      <c r="F13" s="17" t="n">
        <v>1.06</v>
      </c>
      <c r="G13" s="10" t="n">
        <v>2</v>
      </c>
      <c r="H13" s="10" t="n">
        <v>70</v>
      </c>
      <c r="I13" s="11" t="n">
        <v>1.078</v>
      </c>
      <c r="J13" s="17" t="n">
        <v>163.24</v>
      </c>
      <c r="K13" s="17" t="n">
        <v>11426.8</v>
      </c>
      <c r="L13" s="17" t="n">
        <v>12.54</v>
      </c>
      <c r="M13" s="10" t="n">
        <v>38</v>
      </c>
      <c r="N13" s="10" t="n">
        <v>76</v>
      </c>
      <c r="O13" s="16" t="n">
        <v>0.9211</v>
      </c>
      <c r="P13" s="10" t="n">
        <v>2</v>
      </c>
      <c r="Q13" s="18" t="inlineStr">
        <is>
          <t>满足</t>
        </is>
      </c>
      <c r="R13" s="10" t="inlineStr"/>
    </row>
    <row r="14" ht="22" customHeight="1">
      <c r="A14" s="10" t="inlineStr">
        <is>
          <t>模型1_总运量最小</t>
        </is>
      </c>
      <c r="B14" s="10" t="inlineStr">
        <is>
          <t>铲位10</t>
        </is>
      </c>
      <c r="C14" s="10" t="inlineStr">
        <is>
          <t>矿石漏</t>
        </is>
      </c>
      <c r="D14" s="10" t="inlineStr">
        <is>
          <t>矿石卸点</t>
        </is>
      </c>
      <c r="E14" s="10" t="inlineStr">
        <is>
          <t>矿石</t>
        </is>
      </c>
      <c r="F14" s="17" t="n">
        <v>1.27</v>
      </c>
      <c r="G14" s="10" t="n">
        <v>1</v>
      </c>
      <c r="H14" s="10" t="n">
        <v>11</v>
      </c>
      <c r="I14" s="11" t="n">
        <v>0.1694</v>
      </c>
      <c r="J14" s="17" t="n">
        <v>195.58</v>
      </c>
      <c r="K14" s="17" t="n">
        <v>2151.38</v>
      </c>
      <c r="L14" s="17" t="n">
        <v>13.44</v>
      </c>
      <c r="M14" s="10" t="n">
        <v>35</v>
      </c>
      <c r="N14" s="10" t="n">
        <v>35</v>
      </c>
      <c r="O14" s="16" t="n">
        <v>0.3143</v>
      </c>
      <c r="P14" s="10" t="n">
        <v>2</v>
      </c>
      <c r="Q14" s="18" t="inlineStr">
        <is>
          <t>满足</t>
        </is>
      </c>
      <c r="R14" s="11" t="n">
        <v>31</v>
      </c>
    </row>
    <row r="15" ht="22" customHeight="1">
      <c r="A15" s="10" t="inlineStr">
        <is>
          <t>模型1_总运量最小</t>
        </is>
      </c>
      <c r="B15" s="10" t="inlineStr">
        <is>
          <t>铲位10</t>
        </is>
      </c>
      <c r="C15" s="10" t="inlineStr">
        <is>
          <t>倒装场II</t>
        </is>
      </c>
      <c r="D15" s="10" t="inlineStr">
        <is>
          <t>矿石卸点</t>
        </is>
      </c>
      <c r="E15" s="10" t="inlineStr">
        <is>
          <t>矿石</t>
        </is>
      </c>
      <c r="F15" s="17" t="n">
        <v>0.5</v>
      </c>
      <c r="G15" s="10" t="n">
        <v>2</v>
      </c>
      <c r="H15" s="10" t="n">
        <v>70</v>
      </c>
      <c r="I15" s="11" t="n">
        <v>1.078</v>
      </c>
      <c r="J15" s="17" t="n">
        <v>77</v>
      </c>
      <c r="K15" s="17" t="n">
        <v>5390</v>
      </c>
      <c r="L15" s="17" t="n">
        <v>10.14</v>
      </c>
      <c r="M15" s="10" t="n">
        <v>47</v>
      </c>
      <c r="N15" s="10" t="n">
        <v>94</v>
      </c>
      <c r="O15" s="16" t="n">
        <v>0.7447</v>
      </c>
      <c r="P15" s="10" t="n">
        <v>2</v>
      </c>
      <c r="Q15" s="18" t="inlineStr">
        <is>
          <t>满足</t>
        </is>
      </c>
      <c r="R15" s="11" t="n">
        <v>31</v>
      </c>
    </row>
    <row r="16" ht="22" customHeight="1">
      <c r="A16" s="10" t="inlineStr">
        <is>
          <t>模型1_总运量最小</t>
        </is>
      </c>
      <c r="B16" s="10" t="inlineStr">
        <is>
          <t>铲位10</t>
        </is>
      </c>
      <c r="C16" s="10" t="inlineStr">
        <is>
          <t>岩场</t>
        </is>
      </c>
      <c r="D16" s="10" t="inlineStr">
        <is>
          <t>岩石卸点</t>
        </is>
      </c>
      <c r="E16" s="10" t="inlineStr">
        <is>
          <t>岩石</t>
        </is>
      </c>
      <c r="F16" s="17" t="n">
        <v>0.57</v>
      </c>
      <c r="G16" s="10" t="n">
        <v>1</v>
      </c>
      <c r="H16" s="10" t="n">
        <v>15</v>
      </c>
      <c r="I16" s="11" t="n">
        <v>0.231</v>
      </c>
      <c r="J16" s="17" t="n">
        <v>87.78</v>
      </c>
      <c r="K16" s="17" t="n">
        <v>1316.7</v>
      </c>
      <c r="L16" s="17" t="n">
        <v>10.44</v>
      </c>
      <c r="M16" s="10" t="n">
        <v>45</v>
      </c>
      <c r="N16" s="10" t="n">
        <v>45</v>
      </c>
      <c r="O16" s="16" t="n">
        <v>0.3333</v>
      </c>
      <c r="P16" s="10" t="n">
        <v>2</v>
      </c>
      <c r="Q16" s="18" t="inlineStr">
        <is>
          <t>满足</t>
        </is>
      </c>
      <c r="R16" s="10" t="inlineStr"/>
    </row>
  </sheetData>
  <autoFilter ref="A4:R16"/>
  <mergeCells count="2">
    <mergeCell ref="A2:R2"/>
    <mergeCell ref="A1:R1"/>
  </mergeCells>
  <conditionalFormatting sqref="O5:O16">
    <cfRule type="dataBar" priority="1">
      <dataBar showValue="1">
        <cfvo type="num" val="0"/>
        <cfvo type="num" val="1"/>
        <color rgb="0063C384"/>
      </dataBar>
    </cfRule>
  </conditionalFormatting>
  <pageMargins left="0.3" right="0.3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</cols>
  <sheetData>
    <row r="1" ht="22" customHeight="1">
      <c r="A1" s="1" t="inlineStr">
        <is>
          <t>模型2生产计划：现有20辆车下最大产量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2" customHeight="1">
      <c r="A2" s="3" t="inlineStr">
        <is>
          <t>本表列出模型2的电铲布置、运输路线、车辆数、趟数、运输量和路线能力利用率。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 ht="22" customHeight="1">
      <c r="A4" s="9" t="inlineStr">
        <is>
          <t>模型</t>
        </is>
      </c>
      <c r="B4" s="9" t="inlineStr">
        <is>
          <t>铲位</t>
        </is>
      </c>
      <c r="C4" s="9" t="inlineStr">
        <is>
          <t>卸点</t>
        </is>
      </c>
      <c r="D4" s="9" t="inlineStr">
        <is>
          <t>卸点类型</t>
        </is>
      </c>
      <c r="E4" s="9" t="inlineStr">
        <is>
          <t>运输物料</t>
        </is>
      </c>
      <c r="F4" s="9" t="inlineStr">
        <is>
          <t>距离/km</t>
        </is>
      </c>
      <c r="G4" s="9" t="inlineStr">
        <is>
          <t>车辆数/辆</t>
        </is>
      </c>
      <c r="H4" s="9" t="inlineStr">
        <is>
          <t>运输趟数/趟</t>
        </is>
      </c>
      <c r="I4" s="9" t="inlineStr">
        <is>
          <t>运输量/万吨</t>
        </is>
      </c>
      <c r="J4" s="9" t="inlineStr">
        <is>
          <t>单趟吨公里</t>
        </is>
      </c>
      <c r="K4" s="9" t="inlineStr">
        <is>
          <t>总运量/吨公里</t>
        </is>
      </c>
      <c r="L4" s="9" t="inlineStr">
        <is>
          <t>循环时间/min</t>
        </is>
      </c>
      <c r="M4" s="9" t="inlineStr">
        <is>
          <t>单车最大趟数</t>
        </is>
      </c>
      <c r="N4" s="9" t="inlineStr">
        <is>
          <t>路线总能力/趟</t>
        </is>
      </c>
      <c r="O4" s="9" t="inlineStr">
        <is>
          <t>车辆利用率</t>
        </is>
      </c>
      <c r="P4" s="9" t="inlineStr">
        <is>
          <t>同路线不等待上限/辆</t>
        </is>
      </c>
      <c r="Q4" s="9" t="inlineStr">
        <is>
          <t>不等待约束</t>
        </is>
      </c>
      <c r="R4" s="9" t="inlineStr">
        <is>
          <t>矿石品位/%</t>
        </is>
      </c>
    </row>
    <row r="5" ht="22" customHeight="1">
      <c r="A5" s="10" t="inlineStr">
        <is>
          <t>模型2_最大产量</t>
        </is>
      </c>
      <c r="B5" s="10" t="inlineStr">
        <is>
          <t>铲位1</t>
        </is>
      </c>
      <c r="C5" s="10" t="inlineStr">
        <is>
          <t>岩石漏</t>
        </is>
      </c>
      <c r="D5" s="10" t="inlineStr">
        <is>
          <t>岩石卸点</t>
        </is>
      </c>
      <c r="E5" s="10" t="inlineStr">
        <is>
          <t>岩石</t>
        </is>
      </c>
      <c r="F5" s="17" t="n">
        <v>0.64</v>
      </c>
      <c r="G5" s="10" t="n">
        <v>2</v>
      </c>
      <c r="H5" s="10" t="n">
        <v>81</v>
      </c>
      <c r="I5" s="11" t="n">
        <v>1.2474</v>
      </c>
      <c r="J5" s="17" t="n">
        <v>98.56</v>
      </c>
      <c r="K5" s="17" t="n">
        <v>7983.36</v>
      </c>
      <c r="L5" s="17" t="n">
        <v>10.74</v>
      </c>
      <c r="M5" s="10" t="n">
        <v>44</v>
      </c>
      <c r="N5" s="10" t="n">
        <v>88</v>
      </c>
      <c r="O5" s="16" t="n">
        <v>0.9205</v>
      </c>
      <c r="P5" s="10" t="n">
        <v>2</v>
      </c>
      <c r="Q5" s="18" t="inlineStr">
        <is>
          <t>满足</t>
        </is>
      </c>
      <c r="R5" s="10" t="inlineStr"/>
    </row>
    <row r="6" ht="22" customHeight="1">
      <c r="A6" s="10" t="inlineStr">
        <is>
          <t>模型2_最大产量</t>
        </is>
      </c>
      <c r="B6" s="10" t="inlineStr">
        <is>
          <t>铲位2</t>
        </is>
      </c>
      <c r="C6" s="10" t="inlineStr">
        <is>
          <t>矿石漏</t>
        </is>
      </c>
      <c r="D6" s="10" t="inlineStr">
        <is>
          <t>矿石卸点</t>
        </is>
      </c>
      <c r="E6" s="10" t="inlineStr">
        <is>
          <t>矿石</t>
        </is>
      </c>
      <c r="F6" s="17" t="n">
        <v>5.19</v>
      </c>
      <c r="G6" s="10" t="n">
        <v>1</v>
      </c>
      <c r="H6" s="10" t="n">
        <v>15</v>
      </c>
      <c r="I6" s="11" t="n">
        <v>0.231</v>
      </c>
      <c r="J6" s="17" t="n">
        <v>799.26</v>
      </c>
      <c r="K6" s="17" t="n">
        <v>11988.9</v>
      </c>
      <c r="L6" s="17" t="n">
        <v>30.24</v>
      </c>
      <c r="M6" s="10" t="n">
        <v>15</v>
      </c>
      <c r="N6" s="10" t="n">
        <v>15</v>
      </c>
      <c r="O6" s="16" t="n">
        <v>1</v>
      </c>
      <c r="P6" s="10" t="n">
        <v>6</v>
      </c>
      <c r="Q6" s="18" t="inlineStr">
        <is>
          <t>满足</t>
        </is>
      </c>
      <c r="R6" s="11" t="n">
        <v>28</v>
      </c>
    </row>
    <row r="7" ht="22" customHeight="1">
      <c r="A7" s="10" t="inlineStr">
        <is>
          <t>模型2_最大产量</t>
        </is>
      </c>
      <c r="B7" s="10" t="inlineStr">
        <is>
          <t>铲位2</t>
        </is>
      </c>
      <c r="C7" s="10" t="inlineStr">
        <is>
          <t>倒装场I</t>
        </is>
      </c>
      <c r="D7" s="10" t="inlineStr">
        <is>
          <t>矿石卸点</t>
        </is>
      </c>
      <c r="E7" s="10" t="inlineStr">
        <is>
          <t>矿石</t>
        </is>
      </c>
      <c r="F7" s="17" t="n">
        <v>0.99</v>
      </c>
      <c r="G7" s="10" t="n">
        <v>1</v>
      </c>
      <c r="H7" s="10" t="n">
        <v>37</v>
      </c>
      <c r="I7" s="11" t="n">
        <v>0.5698</v>
      </c>
      <c r="J7" s="17" t="n">
        <v>152.46</v>
      </c>
      <c r="K7" s="17" t="n">
        <v>5641.02</v>
      </c>
      <c r="L7" s="17" t="n">
        <v>12.24</v>
      </c>
      <c r="M7" s="10" t="n">
        <v>39</v>
      </c>
      <c r="N7" s="10" t="n">
        <v>39</v>
      </c>
      <c r="O7" s="16" t="n">
        <v>0.9487</v>
      </c>
      <c r="P7" s="10" t="n">
        <v>2</v>
      </c>
      <c r="Q7" s="18" t="inlineStr">
        <is>
          <t>满足</t>
        </is>
      </c>
      <c r="R7" s="11" t="n">
        <v>28</v>
      </c>
    </row>
    <row r="8" ht="22" customHeight="1">
      <c r="A8" s="10" t="inlineStr">
        <is>
          <t>模型2_最大产量</t>
        </is>
      </c>
      <c r="B8" s="10" t="inlineStr">
        <is>
          <t>铲位2</t>
        </is>
      </c>
      <c r="C8" s="10" t="inlineStr">
        <is>
          <t>倒装场II</t>
        </is>
      </c>
      <c r="D8" s="10" t="inlineStr">
        <is>
          <t>矿石卸点</t>
        </is>
      </c>
      <c r="E8" s="10" t="inlineStr">
        <is>
          <t>矿石</t>
        </is>
      </c>
      <c r="F8" s="17" t="n">
        <v>3.86</v>
      </c>
      <c r="G8" s="10" t="n">
        <v>1</v>
      </c>
      <c r="H8" s="10" t="n">
        <v>16</v>
      </c>
      <c r="I8" s="11" t="n">
        <v>0.2464</v>
      </c>
      <c r="J8" s="17" t="n">
        <v>594.4400000000001</v>
      </c>
      <c r="K8" s="17" t="n">
        <v>9511.040000000001</v>
      </c>
      <c r="L8" s="17" t="n">
        <v>24.54</v>
      </c>
      <c r="M8" s="10" t="n">
        <v>19</v>
      </c>
      <c r="N8" s="10" t="n">
        <v>19</v>
      </c>
      <c r="O8" s="16" t="n">
        <v>0.8421</v>
      </c>
      <c r="P8" s="10" t="n">
        <v>4</v>
      </c>
      <c r="Q8" s="18" t="inlineStr">
        <is>
          <t>满足</t>
        </is>
      </c>
      <c r="R8" s="11" t="n">
        <v>28</v>
      </c>
    </row>
    <row r="9" ht="22" customHeight="1">
      <c r="A9" s="10" t="inlineStr">
        <is>
          <t>模型2_最大产量</t>
        </is>
      </c>
      <c r="B9" s="10" t="inlineStr">
        <is>
          <t>铲位2</t>
        </is>
      </c>
      <c r="C9" s="10" t="inlineStr">
        <is>
          <t>岩石漏</t>
        </is>
      </c>
      <c r="D9" s="10" t="inlineStr">
        <is>
          <t>岩石卸点</t>
        </is>
      </c>
      <c r="E9" s="10" t="inlineStr">
        <is>
          <t>岩石</t>
        </is>
      </c>
      <c r="F9" s="17" t="n">
        <v>1.76</v>
      </c>
      <c r="G9" s="10" t="n">
        <v>1</v>
      </c>
      <c r="H9" s="10" t="n">
        <v>28</v>
      </c>
      <c r="I9" s="11" t="n">
        <v>0.4312</v>
      </c>
      <c r="J9" s="17" t="n">
        <v>271.04</v>
      </c>
      <c r="K9" s="17" t="n">
        <v>7589.12</v>
      </c>
      <c r="L9" s="17" t="n">
        <v>15.54</v>
      </c>
      <c r="M9" s="10" t="n">
        <v>30</v>
      </c>
      <c r="N9" s="10" t="n">
        <v>30</v>
      </c>
      <c r="O9" s="16" t="n">
        <v>0.9333</v>
      </c>
      <c r="P9" s="10" t="n">
        <v>3</v>
      </c>
      <c r="Q9" s="18" t="inlineStr">
        <is>
          <t>满足</t>
        </is>
      </c>
      <c r="R9" s="10" t="inlineStr"/>
    </row>
    <row r="10" ht="22" customHeight="1">
      <c r="A10" s="10" t="inlineStr">
        <is>
          <t>模型2_最大产量</t>
        </is>
      </c>
      <c r="B10" s="10" t="inlineStr">
        <is>
          <t>铲位4</t>
        </is>
      </c>
      <c r="C10" s="10" t="inlineStr">
        <is>
          <t>倒装场I</t>
        </is>
      </c>
      <c r="D10" s="10" t="inlineStr">
        <is>
          <t>矿石卸点</t>
        </is>
      </c>
      <c r="E10" s="10" t="inlineStr">
        <is>
          <t>矿石</t>
        </is>
      </c>
      <c r="F10" s="17" t="n">
        <v>1.13</v>
      </c>
      <c r="G10" s="10" t="n">
        <v>1</v>
      </c>
      <c r="H10" s="10" t="n">
        <v>37</v>
      </c>
      <c r="I10" s="11" t="n">
        <v>0.5698</v>
      </c>
      <c r="J10" s="17" t="n">
        <v>174.02</v>
      </c>
      <c r="K10" s="17" t="n">
        <v>6438.74</v>
      </c>
      <c r="L10" s="17" t="n">
        <v>12.84</v>
      </c>
      <c r="M10" s="10" t="n">
        <v>37</v>
      </c>
      <c r="N10" s="10" t="n">
        <v>37</v>
      </c>
      <c r="O10" s="16" t="n">
        <v>1</v>
      </c>
      <c r="P10" s="10" t="n">
        <v>2</v>
      </c>
      <c r="Q10" s="18" t="inlineStr">
        <is>
          <t>满足</t>
        </is>
      </c>
      <c r="R10" s="11" t="n">
        <v>32</v>
      </c>
    </row>
    <row r="11" ht="22" customHeight="1">
      <c r="A11" s="10" t="inlineStr">
        <is>
          <t>模型2_最大产量</t>
        </is>
      </c>
      <c r="B11" s="10" t="inlineStr">
        <is>
          <t>铲位4</t>
        </is>
      </c>
      <c r="C11" s="10" t="inlineStr">
        <is>
          <t>岩石漏</t>
        </is>
      </c>
      <c r="D11" s="10" t="inlineStr">
        <is>
          <t>岩石卸点</t>
        </is>
      </c>
      <c r="E11" s="10" t="inlineStr">
        <is>
          <t>岩石</t>
        </is>
      </c>
      <c r="F11" s="17" t="n">
        <v>1.83</v>
      </c>
      <c r="G11" s="10" t="n">
        <v>2</v>
      </c>
      <c r="H11" s="10" t="n">
        <v>51</v>
      </c>
      <c r="I11" s="11" t="n">
        <v>0.7854</v>
      </c>
      <c r="J11" s="17" t="n">
        <v>281.82</v>
      </c>
      <c r="K11" s="17" t="n">
        <v>14372.82</v>
      </c>
      <c r="L11" s="17" t="n">
        <v>15.84</v>
      </c>
      <c r="M11" s="10" t="n">
        <v>30</v>
      </c>
      <c r="N11" s="10" t="n">
        <v>60</v>
      </c>
      <c r="O11" s="16" t="n">
        <v>0.85</v>
      </c>
      <c r="P11" s="10" t="n">
        <v>3</v>
      </c>
      <c r="Q11" s="18" t="inlineStr">
        <is>
          <t>满足</t>
        </is>
      </c>
      <c r="R11" s="10" t="inlineStr"/>
    </row>
    <row r="12" ht="22" customHeight="1">
      <c r="A12" s="10" t="inlineStr">
        <is>
          <t>模型2_最大产量</t>
        </is>
      </c>
      <c r="B12" s="10" t="inlineStr">
        <is>
          <t>铲位5</t>
        </is>
      </c>
      <c r="C12" s="10" t="inlineStr">
        <is>
          <t>矿石漏</t>
        </is>
      </c>
      <c r="D12" s="10" t="inlineStr">
        <is>
          <t>矿石卸点</t>
        </is>
      </c>
      <c r="E12" s="10" t="inlineStr">
        <is>
          <t>矿石</t>
        </is>
      </c>
      <c r="F12" s="17" t="n">
        <v>2.95</v>
      </c>
      <c r="G12" s="10" t="n">
        <v>1</v>
      </c>
      <c r="H12" s="10" t="n">
        <v>22</v>
      </c>
      <c r="I12" s="11" t="n">
        <v>0.3388</v>
      </c>
      <c r="J12" s="17" t="n">
        <v>454.3</v>
      </c>
      <c r="K12" s="17" t="n">
        <v>9994.6</v>
      </c>
      <c r="L12" s="17" t="n">
        <v>20.64</v>
      </c>
      <c r="M12" s="10" t="n">
        <v>23</v>
      </c>
      <c r="N12" s="10" t="n">
        <v>23</v>
      </c>
      <c r="O12" s="16" t="n">
        <v>0.9565</v>
      </c>
      <c r="P12" s="10" t="n">
        <v>4</v>
      </c>
      <c r="Q12" s="18" t="inlineStr">
        <is>
          <t>满足</t>
        </is>
      </c>
      <c r="R12" s="11" t="n">
        <v>31</v>
      </c>
    </row>
    <row r="13" ht="22" customHeight="1">
      <c r="A13" s="10" t="inlineStr">
        <is>
          <t>模型2_最大产量</t>
        </is>
      </c>
      <c r="B13" s="10" t="inlineStr">
        <is>
          <t>铲位5</t>
        </is>
      </c>
      <c r="C13" s="10" t="inlineStr">
        <is>
          <t>倒装场I</t>
        </is>
      </c>
      <c r="D13" s="10" t="inlineStr">
        <is>
          <t>矿石卸点</t>
        </is>
      </c>
      <c r="E13" s="10" t="inlineStr">
        <is>
          <t>矿石</t>
        </is>
      </c>
      <c r="F13" s="17" t="n">
        <v>1.27</v>
      </c>
      <c r="G13" s="10" t="n">
        <v>1</v>
      </c>
      <c r="H13" s="10" t="n">
        <v>35</v>
      </c>
      <c r="I13" s="11" t="n">
        <v>0.539</v>
      </c>
      <c r="J13" s="17" t="n">
        <v>195.58</v>
      </c>
      <c r="K13" s="17" t="n">
        <v>6845.3</v>
      </c>
      <c r="L13" s="17" t="n">
        <v>13.44</v>
      </c>
      <c r="M13" s="10" t="n">
        <v>35</v>
      </c>
      <c r="N13" s="10" t="n">
        <v>35</v>
      </c>
      <c r="O13" s="16" t="n">
        <v>1</v>
      </c>
      <c r="P13" s="10" t="n">
        <v>2</v>
      </c>
      <c r="Q13" s="18" t="inlineStr">
        <is>
          <t>满足</t>
        </is>
      </c>
      <c r="R13" s="11" t="n">
        <v>31</v>
      </c>
    </row>
    <row r="14" ht="22" customHeight="1">
      <c r="A14" s="10" t="inlineStr">
        <is>
          <t>模型2_最大产量</t>
        </is>
      </c>
      <c r="B14" s="10" t="inlineStr">
        <is>
          <t>铲位5</t>
        </is>
      </c>
      <c r="C14" s="10" t="inlineStr">
        <is>
          <t>岩场</t>
        </is>
      </c>
      <c r="D14" s="10" t="inlineStr">
        <is>
          <t>岩石卸点</t>
        </is>
      </c>
      <c r="E14" s="10" t="inlineStr">
        <is>
          <t>岩石</t>
        </is>
      </c>
      <c r="F14" s="17" t="n">
        <v>3.51</v>
      </c>
      <c r="G14" s="10" t="n">
        <v>2</v>
      </c>
      <c r="H14" s="10" t="n">
        <v>39</v>
      </c>
      <c r="I14" s="11" t="n">
        <v>0.6006</v>
      </c>
      <c r="J14" s="17" t="n">
        <v>540.54</v>
      </c>
      <c r="K14" s="17" t="n">
        <v>21081.06</v>
      </c>
      <c r="L14" s="17" t="n">
        <v>23.04</v>
      </c>
      <c r="M14" s="10" t="n">
        <v>20</v>
      </c>
      <c r="N14" s="10" t="n">
        <v>40</v>
      </c>
      <c r="O14" s="16" t="n">
        <v>0.975</v>
      </c>
      <c r="P14" s="10" t="n">
        <v>4</v>
      </c>
      <c r="Q14" s="18" t="inlineStr">
        <is>
          <t>满足</t>
        </is>
      </c>
      <c r="R14" s="10" t="inlineStr"/>
    </row>
    <row r="15" ht="22" customHeight="1">
      <c r="A15" s="10" t="inlineStr">
        <is>
          <t>模型2_最大产量</t>
        </is>
      </c>
      <c r="B15" s="10" t="inlineStr">
        <is>
          <t>铲位8</t>
        </is>
      </c>
      <c r="C15" s="10" t="inlineStr">
        <is>
          <t>矿石漏</t>
        </is>
      </c>
      <c r="D15" s="10" t="inlineStr">
        <is>
          <t>矿石卸点</t>
        </is>
      </c>
      <c r="E15" s="10" t="inlineStr">
        <is>
          <t>矿石</t>
        </is>
      </c>
      <c r="F15" s="17" t="n">
        <v>1.9</v>
      </c>
      <c r="G15" s="10" t="n">
        <v>2</v>
      </c>
      <c r="H15" s="10" t="n">
        <v>52</v>
      </c>
      <c r="I15" s="11" t="n">
        <v>0.8008</v>
      </c>
      <c r="J15" s="17" t="n">
        <v>292.6</v>
      </c>
      <c r="K15" s="17" t="n">
        <v>15215.2</v>
      </c>
      <c r="L15" s="17" t="n">
        <v>16.14</v>
      </c>
      <c r="M15" s="10" t="n">
        <v>29</v>
      </c>
      <c r="N15" s="10" t="n">
        <v>58</v>
      </c>
      <c r="O15" s="16" t="n">
        <v>0.8966</v>
      </c>
      <c r="P15" s="10" t="n">
        <v>3</v>
      </c>
      <c r="Q15" s="18" t="inlineStr">
        <is>
          <t>满足</t>
        </is>
      </c>
      <c r="R15" s="11" t="n">
        <v>31</v>
      </c>
    </row>
    <row r="16" ht="22" customHeight="1">
      <c r="A16" s="10" t="inlineStr">
        <is>
          <t>模型2_最大产量</t>
        </is>
      </c>
      <c r="B16" s="10" t="inlineStr">
        <is>
          <t>铲位8</t>
        </is>
      </c>
      <c r="C16" s="10" t="inlineStr">
        <is>
          <t>倒装场II</t>
        </is>
      </c>
      <c r="D16" s="10" t="inlineStr">
        <is>
          <t>矿石卸点</t>
        </is>
      </c>
      <c r="E16" s="10" t="inlineStr">
        <is>
          <t>矿石</t>
        </is>
      </c>
      <c r="F16" s="17" t="n">
        <v>1.62</v>
      </c>
      <c r="G16" s="10" t="n">
        <v>1</v>
      </c>
      <c r="H16" s="10" t="n">
        <v>32</v>
      </c>
      <c r="I16" s="11" t="n">
        <v>0.4928</v>
      </c>
      <c r="J16" s="17" t="n">
        <v>249.48</v>
      </c>
      <c r="K16" s="17" t="n">
        <v>7983.36</v>
      </c>
      <c r="L16" s="17" t="n">
        <v>14.94</v>
      </c>
      <c r="M16" s="10" t="n">
        <v>32</v>
      </c>
      <c r="N16" s="10" t="n">
        <v>32</v>
      </c>
      <c r="O16" s="16" t="n">
        <v>1</v>
      </c>
      <c r="P16" s="10" t="n">
        <v>2</v>
      </c>
      <c r="Q16" s="18" t="inlineStr">
        <is>
          <t>满足</t>
        </is>
      </c>
      <c r="R16" s="11" t="n">
        <v>31</v>
      </c>
    </row>
    <row r="17" ht="22" customHeight="1">
      <c r="A17" s="10" t="inlineStr">
        <is>
          <t>模型2_最大产量</t>
        </is>
      </c>
      <c r="B17" s="10" t="inlineStr">
        <is>
          <t>铲位9</t>
        </is>
      </c>
      <c r="C17" s="10" t="inlineStr">
        <is>
          <t>岩场</t>
        </is>
      </c>
      <c r="D17" s="10" t="inlineStr">
        <is>
          <t>岩石卸点</t>
        </is>
      </c>
      <c r="E17" s="10" t="inlineStr">
        <is>
          <t>岩石</t>
        </is>
      </c>
      <c r="F17" s="17" t="n">
        <v>1.06</v>
      </c>
      <c r="G17" s="10" t="n">
        <v>2</v>
      </c>
      <c r="H17" s="10" t="n">
        <v>76</v>
      </c>
      <c r="I17" s="11" t="n">
        <v>1.1704</v>
      </c>
      <c r="J17" s="17" t="n">
        <v>163.24</v>
      </c>
      <c r="K17" s="17" t="n">
        <v>12406.24</v>
      </c>
      <c r="L17" s="17" t="n">
        <v>12.54</v>
      </c>
      <c r="M17" s="10" t="n">
        <v>38</v>
      </c>
      <c r="N17" s="10" t="n">
        <v>76</v>
      </c>
      <c r="O17" s="16" t="n">
        <v>1</v>
      </c>
      <c r="P17" s="10" t="n">
        <v>2</v>
      </c>
      <c r="Q17" s="18" t="inlineStr">
        <is>
          <t>满足</t>
        </is>
      </c>
      <c r="R17" s="10" t="inlineStr"/>
    </row>
    <row r="18" ht="22" customHeight="1">
      <c r="A18" s="10" t="inlineStr">
        <is>
          <t>模型2_最大产量</t>
        </is>
      </c>
      <c r="B18" s="10" t="inlineStr">
        <is>
          <t>铲位10</t>
        </is>
      </c>
      <c r="C18" s="10" t="inlineStr">
        <is>
          <t>倒装场II</t>
        </is>
      </c>
      <c r="D18" s="10" t="inlineStr">
        <is>
          <t>矿石卸点</t>
        </is>
      </c>
      <c r="E18" s="10" t="inlineStr">
        <is>
          <t>矿石</t>
        </is>
      </c>
      <c r="F18" s="17" t="n">
        <v>0.5</v>
      </c>
      <c r="G18" s="10" t="n">
        <v>1</v>
      </c>
      <c r="H18" s="10" t="n">
        <v>47</v>
      </c>
      <c r="I18" s="11" t="n">
        <v>0.7238</v>
      </c>
      <c r="J18" s="17" t="n">
        <v>77</v>
      </c>
      <c r="K18" s="17" t="n">
        <v>3619</v>
      </c>
      <c r="L18" s="17" t="n">
        <v>10.14</v>
      </c>
      <c r="M18" s="10" t="n">
        <v>47</v>
      </c>
      <c r="N18" s="10" t="n">
        <v>47</v>
      </c>
      <c r="O18" s="16" t="n">
        <v>1</v>
      </c>
      <c r="P18" s="10" t="n">
        <v>2</v>
      </c>
      <c r="Q18" s="18" t="inlineStr">
        <is>
          <t>满足</t>
        </is>
      </c>
      <c r="R18" s="11" t="n">
        <v>31</v>
      </c>
    </row>
    <row r="19" ht="22" customHeight="1">
      <c r="A19" s="10" t="inlineStr">
        <is>
          <t>模型2_最大产量</t>
        </is>
      </c>
      <c r="B19" s="10" t="inlineStr">
        <is>
          <t>铲位10</t>
        </is>
      </c>
      <c r="C19" s="10" t="inlineStr">
        <is>
          <t>岩场</t>
        </is>
      </c>
      <c r="D19" s="10" t="inlineStr">
        <is>
          <t>岩石卸点</t>
        </is>
      </c>
      <c r="E19" s="10" t="inlineStr">
        <is>
          <t>岩石</t>
        </is>
      </c>
      <c r="F19" s="17" t="n">
        <v>0.57</v>
      </c>
      <c r="G19" s="10" t="n">
        <v>1</v>
      </c>
      <c r="H19" s="10" t="n">
        <v>45</v>
      </c>
      <c r="I19" s="11" t="n">
        <v>0.6929999999999999</v>
      </c>
      <c r="J19" s="17" t="n">
        <v>87.78</v>
      </c>
      <c r="K19" s="17" t="n">
        <v>3950.1</v>
      </c>
      <c r="L19" s="17" t="n">
        <v>10.44</v>
      </c>
      <c r="M19" s="10" t="n">
        <v>45</v>
      </c>
      <c r="N19" s="10" t="n">
        <v>45</v>
      </c>
      <c r="O19" s="16" t="n">
        <v>1</v>
      </c>
      <c r="P19" s="10" t="n">
        <v>2</v>
      </c>
      <c r="Q19" s="18" t="inlineStr">
        <is>
          <t>满足</t>
        </is>
      </c>
      <c r="R19" s="10" t="inlineStr"/>
    </row>
  </sheetData>
  <autoFilter ref="A4:R19"/>
  <mergeCells count="2">
    <mergeCell ref="A2:R2"/>
    <mergeCell ref="A1:R1"/>
  </mergeCells>
  <conditionalFormatting sqref="O5:O19">
    <cfRule type="dataBar" priority="1">
      <dataBar showValue="1">
        <cfvo type="num" val="0"/>
        <cfvo type="num" val="1"/>
        <color rgb="0063C384"/>
      </dataBar>
    </cfRule>
  </conditionalFormatting>
  <pageMargins left="0.3" right="0.3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卸点产量验证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>
        <is>
          <t>检查各卸点实际产量是否达到题目给定的最低产量要求，并给出卸点能力利用率。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9" t="inlineStr">
        <is>
          <t>模型</t>
        </is>
      </c>
      <c r="B4" s="9" t="inlineStr">
        <is>
          <t>卸点</t>
        </is>
      </c>
      <c r="C4" s="9" t="inlineStr">
        <is>
          <t>卸点类型</t>
        </is>
      </c>
      <c r="D4" s="9" t="inlineStr">
        <is>
          <t>实际趟数/趟</t>
        </is>
      </c>
      <c r="E4" s="9" t="inlineStr">
        <is>
          <t>实际产量/万吨</t>
        </is>
      </c>
      <c r="F4" s="9" t="inlineStr">
        <is>
          <t>要求产量/万吨</t>
        </is>
      </c>
      <c r="G4" s="9" t="inlineStr">
        <is>
          <t>超额产量/万吨</t>
        </is>
      </c>
      <c r="H4" s="9" t="inlineStr">
        <is>
          <t>完成率</t>
        </is>
      </c>
      <c r="I4" s="9" t="inlineStr">
        <is>
          <t>卸点最大卸车能力/趟</t>
        </is>
      </c>
      <c r="J4" s="9" t="inlineStr">
        <is>
          <t>卸点能力利用率</t>
        </is>
      </c>
      <c r="K4" s="9" t="inlineStr">
        <is>
          <t>是否满足</t>
        </is>
      </c>
      <c r="L4" s="2" t="n"/>
    </row>
    <row r="5" ht="22" customHeight="1">
      <c r="A5" s="10" t="inlineStr">
        <is>
          <t>模型1_总运量最小</t>
        </is>
      </c>
      <c r="B5" s="10" t="inlineStr">
        <is>
          <t>矿石漏</t>
        </is>
      </c>
      <c r="C5" s="10" t="inlineStr">
        <is>
          <t>矿石卸点</t>
        </is>
      </c>
      <c r="D5" s="10" t="n">
        <v>78</v>
      </c>
      <c r="E5" s="11" t="n">
        <v>1.2012</v>
      </c>
      <c r="F5" s="11" t="n">
        <v>1.2</v>
      </c>
      <c r="G5" s="11" t="n">
        <v>0.0012</v>
      </c>
      <c r="H5" s="16" t="n">
        <v>1.001</v>
      </c>
      <c r="I5" s="10" t="n">
        <v>160</v>
      </c>
      <c r="J5" s="16" t="n">
        <v>0.4875</v>
      </c>
      <c r="K5" s="18" t="inlineStr">
        <is>
          <t>满足</t>
        </is>
      </c>
      <c r="L5" s="2" t="n"/>
    </row>
    <row r="6" ht="22" customHeight="1">
      <c r="A6" s="10" t="inlineStr">
        <is>
          <t>模型1_总运量最小</t>
        </is>
      </c>
      <c r="B6" s="10" t="inlineStr">
        <is>
          <t>倒装场I</t>
        </is>
      </c>
      <c r="C6" s="10" t="inlineStr">
        <is>
          <t>矿石卸点</t>
        </is>
      </c>
      <c r="D6" s="10" t="n">
        <v>85</v>
      </c>
      <c r="E6" s="11" t="n">
        <v>1.309</v>
      </c>
      <c r="F6" s="11" t="n">
        <v>1.3</v>
      </c>
      <c r="G6" s="11" t="n">
        <v>0.008999999999999999</v>
      </c>
      <c r="H6" s="16" t="n">
        <v>1.0069</v>
      </c>
      <c r="I6" s="10" t="n">
        <v>160</v>
      </c>
      <c r="J6" s="16" t="n">
        <v>0.5312</v>
      </c>
      <c r="K6" s="18" t="inlineStr">
        <is>
          <t>满足</t>
        </is>
      </c>
      <c r="L6" s="2" t="n"/>
    </row>
    <row r="7" ht="22" customHeight="1">
      <c r="A7" s="10" t="inlineStr">
        <is>
          <t>模型1_总运量最小</t>
        </is>
      </c>
      <c r="B7" s="10" t="inlineStr">
        <is>
          <t>倒装场II</t>
        </is>
      </c>
      <c r="C7" s="10" t="inlineStr">
        <is>
          <t>矿石卸点</t>
        </is>
      </c>
      <c r="D7" s="10" t="n">
        <v>85</v>
      </c>
      <c r="E7" s="11" t="n">
        <v>1.309</v>
      </c>
      <c r="F7" s="11" t="n">
        <v>1.3</v>
      </c>
      <c r="G7" s="11" t="n">
        <v>0.008999999999999999</v>
      </c>
      <c r="H7" s="16" t="n">
        <v>1.0069</v>
      </c>
      <c r="I7" s="10" t="n">
        <v>160</v>
      </c>
      <c r="J7" s="16" t="n">
        <v>0.5312</v>
      </c>
      <c r="K7" s="18" t="inlineStr">
        <is>
          <t>满足</t>
        </is>
      </c>
      <c r="L7" s="2" t="n"/>
    </row>
    <row r="8" ht="22" customHeight="1">
      <c r="A8" s="10" t="inlineStr">
        <is>
          <t>模型1_总运量最小</t>
        </is>
      </c>
      <c r="B8" s="10" t="inlineStr">
        <is>
          <t>岩石漏</t>
        </is>
      </c>
      <c r="C8" s="10" t="inlineStr">
        <is>
          <t>岩石卸点</t>
        </is>
      </c>
      <c r="D8" s="10" t="n">
        <v>124</v>
      </c>
      <c r="E8" s="11" t="n">
        <v>1.9096</v>
      </c>
      <c r="F8" s="11" t="n">
        <v>1.9</v>
      </c>
      <c r="G8" s="11" t="n">
        <v>0.009599999999999999</v>
      </c>
      <c r="H8" s="16" t="n">
        <v>1.0051</v>
      </c>
      <c r="I8" s="10" t="n">
        <v>160</v>
      </c>
      <c r="J8" s="16" t="n">
        <v>0.775</v>
      </c>
      <c r="K8" s="18" t="inlineStr">
        <is>
          <t>满足</t>
        </is>
      </c>
      <c r="L8" s="2" t="n"/>
    </row>
    <row r="9" ht="22" customHeight="1">
      <c r="A9" s="10" t="inlineStr">
        <is>
          <t>模型1_总运量最小</t>
        </is>
      </c>
      <c r="B9" s="10" t="inlineStr">
        <is>
          <t>岩场</t>
        </is>
      </c>
      <c r="C9" s="10" t="inlineStr">
        <is>
          <t>岩石卸点</t>
        </is>
      </c>
      <c r="D9" s="10" t="n">
        <v>85</v>
      </c>
      <c r="E9" s="11" t="n">
        <v>1.309</v>
      </c>
      <c r="F9" s="11" t="n">
        <v>1.3</v>
      </c>
      <c r="G9" s="11" t="n">
        <v>0.008999999999999999</v>
      </c>
      <c r="H9" s="16" t="n">
        <v>1.0069</v>
      </c>
      <c r="I9" s="10" t="n">
        <v>160</v>
      </c>
      <c r="J9" s="16" t="n">
        <v>0.5312</v>
      </c>
      <c r="K9" s="18" t="inlineStr">
        <is>
          <t>满足</t>
        </is>
      </c>
      <c r="L9" s="2" t="n"/>
    </row>
    <row r="10" ht="22" customHeight="1">
      <c r="A10" s="10" t="inlineStr">
        <is>
          <t>模型2_最大产量</t>
        </is>
      </c>
      <c r="B10" s="10" t="inlineStr">
        <is>
          <t>矿石漏</t>
        </is>
      </c>
      <c r="C10" s="10" t="inlineStr">
        <is>
          <t>矿石卸点</t>
        </is>
      </c>
      <c r="D10" s="10" t="n">
        <v>89</v>
      </c>
      <c r="E10" s="11" t="n">
        <v>1.3706</v>
      </c>
      <c r="F10" s="11" t="n">
        <v>1.2</v>
      </c>
      <c r="G10" s="11" t="n">
        <v>0.1706</v>
      </c>
      <c r="H10" s="16" t="n">
        <v>1.1422</v>
      </c>
      <c r="I10" s="10" t="n">
        <v>160</v>
      </c>
      <c r="J10" s="16" t="n">
        <v>0.5563</v>
      </c>
      <c r="K10" s="18" t="inlineStr">
        <is>
          <t>满足</t>
        </is>
      </c>
      <c r="L10" s="2" t="n"/>
    </row>
    <row r="11" ht="22" customHeight="1">
      <c r="A11" s="10" t="inlineStr">
        <is>
          <t>模型2_最大产量</t>
        </is>
      </c>
      <c r="B11" s="10" t="inlineStr">
        <is>
          <t>倒装场I</t>
        </is>
      </c>
      <c r="C11" s="10" t="inlineStr">
        <is>
          <t>矿石卸点</t>
        </is>
      </c>
      <c r="D11" s="10" t="n">
        <v>109</v>
      </c>
      <c r="E11" s="11" t="n">
        <v>1.6786</v>
      </c>
      <c r="F11" s="11" t="n">
        <v>1.3</v>
      </c>
      <c r="G11" s="11" t="n">
        <v>0.3786</v>
      </c>
      <c r="H11" s="16" t="n">
        <v>1.2912</v>
      </c>
      <c r="I11" s="10" t="n">
        <v>160</v>
      </c>
      <c r="J11" s="16" t="n">
        <v>0.6813</v>
      </c>
      <c r="K11" s="18" t="inlineStr">
        <is>
          <t>满足</t>
        </is>
      </c>
      <c r="L11" s="2" t="n"/>
    </row>
    <row r="12" ht="22" customHeight="1">
      <c r="A12" s="10" t="inlineStr">
        <is>
          <t>模型2_最大产量</t>
        </is>
      </c>
      <c r="B12" s="10" t="inlineStr">
        <is>
          <t>倒装场II</t>
        </is>
      </c>
      <c r="C12" s="10" t="inlineStr">
        <is>
          <t>矿石卸点</t>
        </is>
      </c>
      <c r="D12" s="10" t="n">
        <v>95</v>
      </c>
      <c r="E12" s="11" t="n">
        <v>1.463</v>
      </c>
      <c r="F12" s="11" t="n">
        <v>1.3</v>
      </c>
      <c r="G12" s="11" t="n">
        <v>0.163</v>
      </c>
      <c r="H12" s="16" t="n">
        <v>1.1254</v>
      </c>
      <c r="I12" s="10" t="n">
        <v>160</v>
      </c>
      <c r="J12" s="16" t="n">
        <v>0.5938</v>
      </c>
      <c r="K12" s="18" t="inlineStr">
        <is>
          <t>满足</t>
        </is>
      </c>
      <c r="L12" s="2" t="n"/>
    </row>
    <row r="13" ht="22" customHeight="1">
      <c r="A13" s="10" t="inlineStr">
        <is>
          <t>模型2_最大产量</t>
        </is>
      </c>
      <c r="B13" s="10" t="inlineStr">
        <is>
          <t>岩石漏</t>
        </is>
      </c>
      <c r="C13" s="10" t="inlineStr">
        <is>
          <t>岩石卸点</t>
        </is>
      </c>
      <c r="D13" s="10" t="n">
        <v>160</v>
      </c>
      <c r="E13" s="11" t="n">
        <v>2.464</v>
      </c>
      <c r="F13" s="11" t="n">
        <v>1.9</v>
      </c>
      <c r="G13" s="11" t="n">
        <v>0.5639999999999999</v>
      </c>
      <c r="H13" s="16" t="n">
        <v>1.2968</v>
      </c>
      <c r="I13" s="10" t="n">
        <v>160</v>
      </c>
      <c r="J13" s="16" t="n">
        <v>1</v>
      </c>
      <c r="K13" s="18" t="inlineStr">
        <is>
          <t>满足</t>
        </is>
      </c>
      <c r="L13" s="2" t="n"/>
    </row>
    <row r="14" ht="22" customHeight="1">
      <c r="A14" s="10" t="inlineStr">
        <is>
          <t>模型2_最大产量</t>
        </is>
      </c>
      <c r="B14" s="10" t="inlineStr">
        <is>
          <t>岩场</t>
        </is>
      </c>
      <c r="C14" s="10" t="inlineStr">
        <is>
          <t>岩石卸点</t>
        </is>
      </c>
      <c r="D14" s="10" t="n">
        <v>160</v>
      </c>
      <c r="E14" s="11" t="n">
        <v>2.464</v>
      </c>
      <c r="F14" s="11" t="n">
        <v>1.3</v>
      </c>
      <c r="G14" s="11" t="n">
        <v>1.164</v>
      </c>
      <c r="H14" s="16" t="n">
        <v>1.8954</v>
      </c>
      <c r="I14" s="10" t="n">
        <v>160</v>
      </c>
      <c r="J14" s="16" t="n">
        <v>1</v>
      </c>
      <c r="K14" s="18" t="inlineStr">
        <is>
          <t>满足</t>
        </is>
      </c>
      <c r="L14" s="2" t="n"/>
    </row>
  </sheetData>
  <autoFilter ref="A4:K14"/>
  <mergeCells count="2">
    <mergeCell ref="A2:L2"/>
    <mergeCell ref="A1:L1"/>
  </mergeCells>
  <conditionalFormatting sqref="H5:H14">
    <cfRule type="dataBar" priority="1">
      <dataBar showValue="1">
        <cfvo type="num" val="0"/>
        <cfvo type="num" val="1"/>
        <color rgb="0063C384"/>
      </dataBar>
    </cfRule>
  </conditionalFormatting>
  <conditionalFormatting sqref="J5:J14">
    <cfRule type="dataBar" priority="2">
      <dataBar showValue="1">
        <cfvo type="num" val="0"/>
        <cfvo type="num" val="1"/>
        <color rgb="0063C384"/>
      </dataBar>
    </cfRule>
  </conditionalFormatting>
  <pageMargins left="0.3" right="0.3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矿石卸点品位验证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>
        <is>
          <t>检查三个矿石卸点的混合平均品位是否位于28.5%至30.5%的允许区间。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9" t="inlineStr">
        <is>
          <t>模型</t>
        </is>
      </c>
      <c r="B4" s="9" t="inlineStr">
        <is>
          <t>矿石卸点</t>
        </is>
      </c>
      <c r="C4" s="9" t="inlineStr">
        <is>
          <t>矿石运输趟数/趟</t>
        </is>
      </c>
      <c r="D4" s="9" t="inlineStr">
        <is>
          <t>矿石产量/万吨</t>
        </is>
      </c>
      <c r="E4" s="9" t="inlineStr">
        <is>
          <t>平均品位/%</t>
        </is>
      </c>
      <c r="F4" s="9" t="inlineStr">
        <is>
          <t>目标品位/%</t>
        </is>
      </c>
      <c r="G4" s="9" t="inlineStr">
        <is>
          <t>下限/%</t>
        </is>
      </c>
      <c r="H4" s="9" t="inlineStr">
        <is>
          <t>上限/%</t>
        </is>
      </c>
      <c r="I4" s="9" t="inlineStr">
        <is>
          <t>距下限/%</t>
        </is>
      </c>
      <c r="J4" s="9" t="inlineStr">
        <is>
          <t>距上限/%</t>
        </is>
      </c>
      <c r="K4" s="9" t="inlineStr">
        <is>
          <t>是否满足</t>
        </is>
      </c>
      <c r="L4" s="2" t="n"/>
    </row>
    <row r="5" ht="22" customHeight="1">
      <c r="A5" s="10" t="inlineStr">
        <is>
          <t>模型1_总运量最小</t>
        </is>
      </c>
      <c r="B5" s="10" t="inlineStr">
        <is>
          <t>矿石漏</t>
        </is>
      </c>
      <c r="C5" s="10" t="n">
        <v>78</v>
      </c>
      <c r="D5" s="11" t="n">
        <v>1.2012</v>
      </c>
      <c r="E5" s="11" t="n">
        <v>30.5</v>
      </c>
      <c r="F5" s="11" t="n">
        <v>29.5</v>
      </c>
      <c r="G5" s="11" t="n">
        <v>28.5</v>
      </c>
      <c r="H5" s="11" t="n">
        <v>30.5</v>
      </c>
      <c r="I5" s="11" t="n">
        <v>2</v>
      </c>
      <c r="J5" s="11" t="n">
        <v>0</v>
      </c>
      <c r="K5" s="18" t="inlineStr">
        <is>
          <t>满足</t>
        </is>
      </c>
      <c r="L5" s="2" t="n"/>
    </row>
    <row r="6" ht="22" customHeight="1">
      <c r="A6" s="10" t="inlineStr">
        <is>
          <t>模型1_总运量最小</t>
        </is>
      </c>
      <c r="B6" s="10" t="inlineStr">
        <is>
          <t>倒装场I</t>
        </is>
      </c>
      <c r="C6" s="10" t="n">
        <v>85</v>
      </c>
      <c r="D6" s="11" t="n">
        <v>1.309</v>
      </c>
      <c r="E6" s="11" t="n">
        <v>30.0235</v>
      </c>
      <c r="F6" s="11" t="n">
        <v>29.5</v>
      </c>
      <c r="G6" s="11" t="n">
        <v>28.5</v>
      </c>
      <c r="H6" s="11" t="n">
        <v>30.5</v>
      </c>
      <c r="I6" s="11" t="n">
        <v>1.5235</v>
      </c>
      <c r="J6" s="11" t="n">
        <v>0.4765</v>
      </c>
      <c r="K6" s="18" t="inlineStr">
        <is>
          <t>满足</t>
        </is>
      </c>
      <c r="L6" s="2" t="n"/>
    </row>
    <row r="7" ht="22" customHeight="1">
      <c r="A7" s="10" t="inlineStr">
        <is>
          <t>模型1_总运量最小</t>
        </is>
      </c>
      <c r="B7" s="10" t="inlineStr">
        <is>
          <t>倒装场II</t>
        </is>
      </c>
      <c r="C7" s="10" t="n">
        <v>85</v>
      </c>
      <c r="D7" s="11" t="n">
        <v>1.309</v>
      </c>
      <c r="E7" s="11" t="n">
        <v>30.4941</v>
      </c>
      <c r="F7" s="11" t="n">
        <v>29.5</v>
      </c>
      <c r="G7" s="11" t="n">
        <v>28.5</v>
      </c>
      <c r="H7" s="11" t="n">
        <v>30.5</v>
      </c>
      <c r="I7" s="11" t="n">
        <v>1.9941</v>
      </c>
      <c r="J7" s="11" t="n">
        <v>0.0059</v>
      </c>
      <c r="K7" s="18" t="inlineStr">
        <is>
          <t>满足</t>
        </is>
      </c>
      <c r="L7" s="2" t="n"/>
    </row>
    <row r="8" ht="22" customHeight="1">
      <c r="A8" s="10" t="inlineStr">
        <is>
          <t>模型2_最大产量</t>
        </is>
      </c>
      <c r="B8" s="10" t="inlineStr">
        <is>
          <t>矿石漏</t>
        </is>
      </c>
      <c r="C8" s="10" t="n">
        <v>89</v>
      </c>
      <c r="D8" s="11" t="n">
        <v>1.3706</v>
      </c>
      <c r="E8" s="11" t="n">
        <v>30.4944</v>
      </c>
      <c r="F8" s="11" t="n">
        <v>29.5</v>
      </c>
      <c r="G8" s="11" t="n">
        <v>28.5</v>
      </c>
      <c r="H8" s="11" t="n">
        <v>30.5</v>
      </c>
      <c r="I8" s="11" t="n">
        <v>1.9944</v>
      </c>
      <c r="J8" s="11" t="n">
        <v>0.0056</v>
      </c>
      <c r="K8" s="18" t="inlineStr">
        <is>
          <t>满足</t>
        </is>
      </c>
      <c r="L8" s="2" t="n"/>
    </row>
    <row r="9" ht="22" customHeight="1">
      <c r="A9" s="10" t="inlineStr">
        <is>
          <t>模型2_最大产量</t>
        </is>
      </c>
      <c r="B9" s="10" t="inlineStr">
        <is>
          <t>倒装场I</t>
        </is>
      </c>
      <c r="C9" s="10" t="n">
        <v>109</v>
      </c>
      <c r="D9" s="11" t="n">
        <v>1.6786</v>
      </c>
      <c r="E9" s="11" t="n">
        <v>30.3211</v>
      </c>
      <c r="F9" s="11" t="n">
        <v>29.5</v>
      </c>
      <c r="G9" s="11" t="n">
        <v>28.5</v>
      </c>
      <c r="H9" s="11" t="n">
        <v>30.5</v>
      </c>
      <c r="I9" s="11" t="n">
        <v>1.8211</v>
      </c>
      <c r="J9" s="11" t="n">
        <v>0.1789</v>
      </c>
      <c r="K9" s="18" t="inlineStr">
        <is>
          <t>满足</t>
        </is>
      </c>
      <c r="L9" s="2" t="n"/>
    </row>
    <row r="10" ht="22" customHeight="1">
      <c r="A10" s="10" t="inlineStr">
        <is>
          <t>模型2_最大产量</t>
        </is>
      </c>
      <c r="B10" s="10" t="inlineStr">
        <is>
          <t>倒装场II</t>
        </is>
      </c>
      <c r="C10" s="10" t="n">
        <v>95</v>
      </c>
      <c r="D10" s="11" t="n">
        <v>1.463</v>
      </c>
      <c r="E10" s="11" t="n">
        <v>30.4947</v>
      </c>
      <c r="F10" s="11" t="n">
        <v>29.5</v>
      </c>
      <c r="G10" s="11" t="n">
        <v>28.5</v>
      </c>
      <c r="H10" s="11" t="n">
        <v>30.5</v>
      </c>
      <c r="I10" s="11" t="n">
        <v>1.9947</v>
      </c>
      <c r="J10" s="11" t="n">
        <v>0.0053</v>
      </c>
      <c r="K10" s="18" t="inlineStr">
        <is>
          <t>满足</t>
        </is>
      </c>
      <c r="L10" s="2" t="n"/>
    </row>
  </sheetData>
  <autoFilter ref="A4:K10"/>
  <mergeCells count="2">
    <mergeCell ref="A2:L2"/>
    <mergeCell ref="A1:L1"/>
  </mergeCells>
  <conditionalFormatting sqref="E5:E10">
    <cfRule type="colorScale" priority="1">
      <colorScale>
        <cfvo type="num" val="28.5"/>
        <cfvo type="num" val="29.5"/>
        <cfvo type="num" val="30.5"/>
        <color rgb="00F4CCCC"/>
        <color rgb="00FFF2CC"/>
        <color rgb="00D9EAD3"/>
      </colorScale>
    </cfRule>
  </conditionalFormatting>
  <pageMargins left="0.3" right="0.3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1" t="inlineStr">
        <is>
          <t>铲位资源与电铲利用率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2" customHeight="1">
      <c r="A2" s="3" t="inlineStr">
        <is>
          <t>展示每个模型下各铲位的电铲布置、矿石/岩石消耗、资源使用率与电铲装车能力利用率。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22" customHeight="1">
      <c r="A4" s="9" t="inlineStr">
        <is>
          <t>模型</t>
        </is>
      </c>
      <c r="B4" s="9" t="inlineStr">
        <is>
          <t>铲位</t>
        </is>
      </c>
      <c r="C4" s="9" t="inlineStr">
        <is>
          <t>是否布置电铲</t>
        </is>
      </c>
      <c r="D4" s="9" t="inlineStr">
        <is>
          <t>矿石趟数/趟</t>
        </is>
      </c>
      <c r="E4" s="9" t="inlineStr">
        <is>
          <t>岩石趟数/趟</t>
        </is>
      </c>
      <c r="F4" s="9" t="inlineStr">
        <is>
          <t>总运输趟数/趟</t>
        </is>
      </c>
      <c r="G4" s="9" t="inlineStr">
        <is>
          <t>电铲最大装车能力/趟</t>
        </is>
      </c>
      <c r="H4" s="9" t="inlineStr">
        <is>
          <t>电铲利用率</t>
        </is>
      </c>
      <c r="I4" s="9" t="inlineStr">
        <is>
          <t>使用矿石/万吨</t>
        </is>
      </c>
      <c r="J4" s="9" t="inlineStr">
        <is>
          <t>矿石储量/万吨</t>
        </is>
      </c>
      <c r="K4" s="9" t="inlineStr">
        <is>
          <t>矿石使用率</t>
        </is>
      </c>
      <c r="L4" s="9" t="inlineStr">
        <is>
          <t>使用岩石/万吨</t>
        </is>
      </c>
      <c r="M4" s="9" t="inlineStr">
        <is>
          <t>岩石储量/万吨</t>
        </is>
      </c>
      <c r="N4" s="9" t="inlineStr">
        <is>
          <t>岩石使用率</t>
        </is>
      </c>
      <c r="O4" s="9" t="inlineStr">
        <is>
          <t>矿石品位/%</t>
        </is>
      </c>
    </row>
    <row r="5" ht="22" customHeight="1">
      <c r="A5" s="10" t="inlineStr">
        <is>
          <t>模型1_总运量最小</t>
        </is>
      </c>
      <c r="B5" s="10" t="inlineStr">
        <is>
          <t>铲位1</t>
        </is>
      </c>
      <c r="C5" s="18" t="inlineStr">
        <is>
          <t>是</t>
        </is>
      </c>
      <c r="D5" s="10" t="n">
        <v>0</v>
      </c>
      <c r="E5" s="10" t="n">
        <v>81</v>
      </c>
      <c r="F5" s="10" t="n">
        <v>81</v>
      </c>
      <c r="G5" s="10" t="n">
        <v>96</v>
      </c>
      <c r="H5" s="16" t="n">
        <v>0.8438</v>
      </c>
      <c r="I5" s="11" t="n">
        <v>0</v>
      </c>
      <c r="J5" s="11" t="n">
        <v>0.95</v>
      </c>
      <c r="K5" s="16" t="n">
        <v>0</v>
      </c>
      <c r="L5" s="11" t="n">
        <v>1.2474</v>
      </c>
      <c r="M5" s="11" t="n">
        <v>1.25</v>
      </c>
      <c r="N5" s="16" t="n">
        <v>0.9979</v>
      </c>
      <c r="O5" s="11" t="n">
        <v>30</v>
      </c>
    </row>
    <row r="6" ht="22" customHeight="1">
      <c r="A6" s="10" t="inlineStr">
        <is>
          <t>模型1_总运量最小</t>
        </is>
      </c>
      <c r="B6" s="10" t="inlineStr">
        <is>
          <t>铲位2</t>
        </is>
      </c>
      <c r="C6" s="18" t="inlineStr">
        <is>
          <t>是</t>
        </is>
      </c>
      <c r="D6" s="10" t="n">
        <v>68</v>
      </c>
      <c r="E6" s="10" t="n">
        <v>0</v>
      </c>
      <c r="F6" s="10" t="n">
        <v>68</v>
      </c>
      <c r="G6" s="10" t="n">
        <v>96</v>
      </c>
      <c r="H6" s="16" t="n">
        <v>0.7083</v>
      </c>
      <c r="I6" s="11" t="n">
        <v>1.0472</v>
      </c>
      <c r="J6" s="11" t="n">
        <v>1.05</v>
      </c>
      <c r="K6" s="16" t="n">
        <v>0.9973</v>
      </c>
      <c r="L6" s="11" t="n">
        <v>0</v>
      </c>
      <c r="M6" s="11" t="n">
        <v>1.1</v>
      </c>
      <c r="N6" s="16" t="n">
        <v>0</v>
      </c>
      <c r="O6" s="11" t="n">
        <v>28</v>
      </c>
    </row>
    <row r="7" ht="22" customHeight="1">
      <c r="A7" s="10" t="inlineStr">
        <is>
          <t>模型1_总运量最小</t>
        </is>
      </c>
      <c r="B7" s="10" t="inlineStr">
        <is>
          <t>铲位3</t>
        </is>
      </c>
      <c r="C7" s="18" t="inlineStr">
        <is>
          <t>是</t>
        </is>
      </c>
      <c r="D7" s="10" t="n">
        <v>2</v>
      </c>
      <c r="E7" s="10" t="n">
        <v>43</v>
      </c>
      <c r="F7" s="10" t="n">
        <v>45</v>
      </c>
      <c r="G7" s="10" t="n">
        <v>96</v>
      </c>
      <c r="H7" s="16" t="n">
        <v>0.4688</v>
      </c>
      <c r="I7" s="11" t="n">
        <v>0.0308</v>
      </c>
      <c r="J7" s="11" t="n">
        <v>1</v>
      </c>
      <c r="K7" s="16" t="n">
        <v>0.0308</v>
      </c>
      <c r="L7" s="11" t="n">
        <v>0.6622</v>
      </c>
      <c r="M7" s="11" t="n">
        <v>1.35</v>
      </c>
      <c r="N7" s="16" t="n">
        <v>0.4905</v>
      </c>
      <c r="O7" s="11" t="n">
        <v>29</v>
      </c>
    </row>
    <row r="8" ht="22" customHeight="1">
      <c r="A8" s="10" t="inlineStr">
        <is>
          <t>模型1_总运量最小</t>
        </is>
      </c>
      <c r="B8" s="10" t="inlineStr">
        <is>
          <t>铲位4</t>
        </is>
      </c>
      <c r="C8" s="18" t="inlineStr">
        <is>
          <t>是</t>
        </is>
      </c>
      <c r="D8" s="10" t="n">
        <v>43</v>
      </c>
      <c r="E8" s="10" t="n">
        <v>0</v>
      </c>
      <c r="F8" s="10" t="n">
        <v>43</v>
      </c>
      <c r="G8" s="10" t="n">
        <v>96</v>
      </c>
      <c r="H8" s="16" t="n">
        <v>0.4479</v>
      </c>
      <c r="I8" s="11" t="n">
        <v>0.6622</v>
      </c>
      <c r="J8" s="11" t="n">
        <v>1.05</v>
      </c>
      <c r="K8" s="16" t="n">
        <v>0.6307</v>
      </c>
      <c r="L8" s="11" t="n">
        <v>0</v>
      </c>
      <c r="M8" s="11" t="n">
        <v>1.05</v>
      </c>
      <c r="N8" s="16" t="n">
        <v>0</v>
      </c>
      <c r="O8" s="11" t="n">
        <v>32</v>
      </c>
    </row>
    <row r="9" ht="22" customHeight="1">
      <c r="A9" s="10" t="inlineStr">
        <is>
          <t>模型1_总运量最小</t>
        </is>
      </c>
      <c r="B9" s="10" t="inlineStr">
        <is>
          <t>铲位5</t>
        </is>
      </c>
      <c r="C9" s="19" t="inlineStr">
        <is>
          <t>否</t>
        </is>
      </c>
      <c r="D9" s="10" t="n">
        <v>0</v>
      </c>
      <c r="E9" s="10" t="n">
        <v>0</v>
      </c>
      <c r="F9" s="10" t="n">
        <v>0</v>
      </c>
      <c r="G9" s="10" t="n">
        <v>96</v>
      </c>
      <c r="H9" s="16" t="n">
        <v>0</v>
      </c>
      <c r="I9" s="11" t="n">
        <v>0</v>
      </c>
      <c r="J9" s="11" t="n">
        <v>1.1</v>
      </c>
      <c r="K9" s="16" t="n">
        <v>0</v>
      </c>
      <c r="L9" s="11" t="n">
        <v>0</v>
      </c>
      <c r="M9" s="11" t="n">
        <v>1.15</v>
      </c>
      <c r="N9" s="16" t="n">
        <v>0</v>
      </c>
      <c r="O9" s="11" t="n">
        <v>31</v>
      </c>
    </row>
    <row r="10" ht="22" customHeight="1">
      <c r="A10" s="10" t="inlineStr">
        <is>
          <t>模型1_总运量最小</t>
        </is>
      </c>
      <c r="B10" s="10" t="inlineStr">
        <is>
          <t>铲位6</t>
        </is>
      </c>
      <c r="C10" s="19" t="inlineStr">
        <is>
          <t>否</t>
        </is>
      </c>
      <c r="D10" s="10" t="n">
        <v>0</v>
      </c>
      <c r="E10" s="10" t="n">
        <v>0</v>
      </c>
      <c r="F10" s="10" t="n">
        <v>0</v>
      </c>
      <c r="G10" s="10" t="n">
        <v>96</v>
      </c>
      <c r="H10" s="16" t="n">
        <v>0</v>
      </c>
      <c r="I10" s="11" t="n">
        <v>0</v>
      </c>
      <c r="J10" s="11" t="n">
        <v>1.25</v>
      </c>
      <c r="K10" s="16" t="n">
        <v>0</v>
      </c>
      <c r="L10" s="11" t="n">
        <v>0</v>
      </c>
      <c r="M10" s="11" t="n">
        <v>1.35</v>
      </c>
      <c r="N10" s="16" t="n">
        <v>0</v>
      </c>
      <c r="O10" s="11" t="n">
        <v>33</v>
      </c>
    </row>
    <row r="11" ht="22" customHeight="1">
      <c r="A11" s="10" t="inlineStr">
        <is>
          <t>模型1_总运量最小</t>
        </is>
      </c>
      <c r="B11" s="10" t="inlineStr">
        <is>
          <t>铲位7</t>
        </is>
      </c>
      <c r="C11" s="19" t="inlineStr">
        <is>
          <t>否</t>
        </is>
      </c>
      <c r="D11" s="10" t="n">
        <v>0</v>
      </c>
      <c r="E11" s="10" t="n">
        <v>0</v>
      </c>
      <c r="F11" s="10" t="n">
        <v>0</v>
      </c>
      <c r="G11" s="10" t="n">
        <v>96</v>
      </c>
      <c r="H11" s="16" t="n">
        <v>0</v>
      </c>
      <c r="I11" s="11" t="n">
        <v>0</v>
      </c>
      <c r="J11" s="11" t="n">
        <v>1.05</v>
      </c>
      <c r="K11" s="16" t="n">
        <v>0</v>
      </c>
      <c r="L11" s="11" t="n">
        <v>0</v>
      </c>
      <c r="M11" s="11" t="n">
        <v>1.05</v>
      </c>
      <c r="N11" s="16" t="n">
        <v>0</v>
      </c>
      <c r="O11" s="11" t="n">
        <v>32</v>
      </c>
    </row>
    <row r="12" ht="22" customHeight="1">
      <c r="A12" s="10" t="inlineStr">
        <is>
          <t>模型1_总运量最小</t>
        </is>
      </c>
      <c r="B12" s="10" t="inlineStr">
        <is>
          <t>铲位8</t>
        </is>
      </c>
      <c r="C12" s="18" t="inlineStr">
        <is>
          <t>是</t>
        </is>
      </c>
      <c r="D12" s="10" t="n">
        <v>54</v>
      </c>
      <c r="E12" s="10" t="n">
        <v>0</v>
      </c>
      <c r="F12" s="10" t="n">
        <v>54</v>
      </c>
      <c r="G12" s="10" t="n">
        <v>96</v>
      </c>
      <c r="H12" s="16" t="n">
        <v>0.5625</v>
      </c>
      <c r="I12" s="11" t="n">
        <v>0.8316</v>
      </c>
      <c r="J12" s="11" t="n">
        <v>1.3</v>
      </c>
      <c r="K12" s="16" t="n">
        <v>0.6397</v>
      </c>
      <c r="L12" s="11" t="n">
        <v>0</v>
      </c>
      <c r="M12" s="11" t="n">
        <v>1.15</v>
      </c>
      <c r="N12" s="16" t="n">
        <v>0</v>
      </c>
      <c r="O12" s="11" t="n">
        <v>31</v>
      </c>
    </row>
    <row r="13" ht="22" customHeight="1">
      <c r="A13" s="10" t="inlineStr">
        <is>
          <t>模型1_总运量最小</t>
        </is>
      </c>
      <c r="B13" s="10" t="inlineStr">
        <is>
          <t>铲位9</t>
        </is>
      </c>
      <c r="C13" s="18" t="inlineStr">
        <is>
          <t>是</t>
        </is>
      </c>
      <c r="D13" s="10" t="n">
        <v>0</v>
      </c>
      <c r="E13" s="10" t="n">
        <v>70</v>
      </c>
      <c r="F13" s="10" t="n">
        <v>70</v>
      </c>
      <c r="G13" s="10" t="n">
        <v>96</v>
      </c>
      <c r="H13" s="16" t="n">
        <v>0.7292</v>
      </c>
      <c r="I13" s="11" t="n">
        <v>0</v>
      </c>
      <c r="J13" s="11" t="n">
        <v>1.35</v>
      </c>
      <c r="K13" s="16" t="n">
        <v>0</v>
      </c>
      <c r="L13" s="11" t="n">
        <v>1.078</v>
      </c>
      <c r="M13" s="11" t="n">
        <v>1.35</v>
      </c>
      <c r="N13" s="16" t="n">
        <v>0.7985</v>
      </c>
      <c r="O13" s="11" t="n">
        <v>33</v>
      </c>
    </row>
    <row r="14" ht="22" customHeight="1">
      <c r="A14" s="10" t="inlineStr">
        <is>
          <t>模型1_总运量最小</t>
        </is>
      </c>
      <c r="B14" s="10" t="inlineStr">
        <is>
          <t>铲位10</t>
        </is>
      </c>
      <c r="C14" s="18" t="inlineStr">
        <is>
          <t>是</t>
        </is>
      </c>
      <c r="D14" s="10" t="n">
        <v>81</v>
      </c>
      <c r="E14" s="10" t="n">
        <v>15</v>
      </c>
      <c r="F14" s="10" t="n">
        <v>96</v>
      </c>
      <c r="G14" s="10" t="n">
        <v>96</v>
      </c>
      <c r="H14" s="16" t="n">
        <v>1</v>
      </c>
      <c r="I14" s="11" t="n">
        <v>1.2474</v>
      </c>
      <c r="J14" s="11" t="n">
        <v>1.25</v>
      </c>
      <c r="K14" s="16" t="n">
        <v>0.9979</v>
      </c>
      <c r="L14" s="11" t="n">
        <v>0.231</v>
      </c>
      <c r="M14" s="11" t="n">
        <v>1.25</v>
      </c>
      <c r="N14" s="16" t="n">
        <v>0.1848</v>
      </c>
      <c r="O14" s="11" t="n">
        <v>31</v>
      </c>
    </row>
    <row r="15" ht="22" customHeight="1">
      <c r="A15" s="10" t="inlineStr">
        <is>
          <t>模型2_最大产量</t>
        </is>
      </c>
      <c r="B15" s="10" t="inlineStr">
        <is>
          <t>铲位1</t>
        </is>
      </c>
      <c r="C15" s="18" t="inlineStr">
        <is>
          <t>是</t>
        </is>
      </c>
      <c r="D15" s="10" t="n">
        <v>0</v>
      </c>
      <c r="E15" s="10" t="n">
        <v>81</v>
      </c>
      <c r="F15" s="10" t="n">
        <v>81</v>
      </c>
      <c r="G15" s="10" t="n">
        <v>96</v>
      </c>
      <c r="H15" s="16" t="n">
        <v>0.8438</v>
      </c>
      <c r="I15" s="11" t="n">
        <v>0</v>
      </c>
      <c r="J15" s="11" t="n">
        <v>0.95</v>
      </c>
      <c r="K15" s="16" t="n">
        <v>0</v>
      </c>
      <c r="L15" s="11" t="n">
        <v>1.2474</v>
      </c>
      <c r="M15" s="11" t="n">
        <v>1.25</v>
      </c>
      <c r="N15" s="16" t="n">
        <v>0.9979</v>
      </c>
      <c r="O15" s="11" t="n">
        <v>30</v>
      </c>
    </row>
    <row r="16" ht="22" customHeight="1">
      <c r="A16" s="10" t="inlineStr">
        <is>
          <t>模型2_最大产量</t>
        </is>
      </c>
      <c r="B16" s="10" t="inlineStr">
        <is>
          <t>铲位2</t>
        </is>
      </c>
      <c r="C16" s="18" t="inlineStr">
        <is>
          <t>是</t>
        </is>
      </c>
      <c r="D16" s="10" t="n">
        <v>68</v>
      </c>
      <c r="E16" s="10" t="n">
        <v>28</v>
      </c>
      <c r="F16" s="10" t="n">
        <v>96</v>
      </c>
      <c r="G16" s="10" t="n">
        <v>96</v>
      </c>
      <c r="H16" s="16" t="n">
        <v>1</v>
      </c>
      <c r="I16" s="11" t="n">
        <v>1.0472</v>
      </c>
      <c r="J16" s="11" t="n">
        <v>1.05</v>
      </c>
      <c r="K16" s="16" t="n">
        <v>0.9973</v>
      </c>
      <c r="L16" s="11" t="n">
        <v>0.4312</v>
      </c>
      <c r="M16" s="11" t="n">
        <v>1.1</v>
      </c>
      <c r="N16" s="16" t="n">
        <v>0.392</v>
      </c>
      <c r="O16" s="11" t="n">
        <v>28</v>
      </c>
    </row>
    <row r="17" ht="22" customHeight="1">
      <c r="A17" s="10" t="inlineStr">
        <is>
          <t>模型2_最大产量</t>
        </is>
      </c>
      <c r="B17" s="10" t="inlineStr">
        <is>
          <t>铲位3</t>
        </is>
      </c>
      <c r="C17" s="19" t="inlineStr">
        <is>
          <t>否</t>
        </is>
      </c>
      <c r="D17" s="10" t="n">
        <v>0</v>
      </c>
      <c r="E17" s="10" t="n">
        <v>0</v>
      </c>
      <c r="F17" s="10" t="n">
        <v>0</v>
      </c>
      <c r="G17" s="10" t="n">
        <v>96</v>
      </c>
      <c r="H17" s="16" t="n">
        <v>0</v>
      </c>
      <c r="I17" s="11" t="n">
        <v>0</v>
      </c>
      <c r="J17" s="11" t="n">
        <v>1</v>
      </c>
      <c r="K17" s="16" t="n">
        <v>0</v>
      </c>
      <c r="L17" s="11" t="n">
        <v>0</v>
      </c>
      <c r="M17" s="11" t="n">
        <v>1.35</v>
      </c>
      <c r="N17" s="16" t="n">
        <v>0</v>
      </c>
      <c r="O17" s="11" t="n">
        <v>29</v>
      </c>
    </row>
    <row r="18" ht="22" customHeight="1">
      <c r="A18" s="10" t="inlineStr">
        <is>
          <t>模型2_最大产量</t>
        </is>
      </c>
      <c r="B18" s="10" t="inlineStr">
        <is>
          <t>铲位4</t>
        </is>
      </c>
      <c r="C18" s="18" t="inlineStr">
        <is>
          <t>是</t>
        </is>
      </c>
      <c r="D18" s="10" t="n">
        <v>37</v>
      </c>
      <c r="E18" s="10" t="n">
        <v>51</v>
      </c>
      <c r="F18" s="10" t="n">
        <v>88</v>
      </c>
      <c r="G18" s="10" t="n">
        <v>96</v>
      </c>
      <c r="H18" s="16" t="n">
        <v>0.9167</v>
      </c>
      <c r="I18" s="11" t="n">
        <v>0.5698</v>
      </c>
      <c r="J18" s="11" t="n">
        <v>1.05</v>
      </c>
      <c r="K18" s="16" t="n">
        <v>0.5427</v>
      </c>
      <c r="L18" s="11" t="n">
        <v>0.7854</v>
      </c>
      <c r="M18" s="11" t="n">
        <v>1.05</v>
      </c>
      <c r="N18" s="16" t="n">
        <v>0.748</v>
      </c>
      <c r="O18" s="11" t="n">
        <v>32</v>
      </c>
    </row>
    <row r="19" ht="22" customHeight="1">
      <c r="A19" s="10" t="inlineStr">
        <is>
          <t>模型2_最大产量</t>
        </is>
      </c>
      <c r="B19" s="10" t="inlineStr">
        <is>
          <t>铲位5</t>
        </is>
      </c>
      <c r="C19" s="18" t="inlineStr">
        <is>
          <t>是</t>
        </is>
      </c>
      <c r="D19" s="10" t="n">
        <v>57</v>
      </c>
      <c r="E19" s="10" t="n">
        <v>39</v>
      </c>
      <c r="F19" s="10" t="n">
        <v>96</v>
      </c>
      <c r="G19" s="10" t="n">
        <v>96</v>
      </c>
      <c r="H19" s="16" t="n">
        <v>1</v>
      </c>
      <c r="I19" s="11" t="n">
        <v>0.8778</v>
      </c>
      <c r="J19" s="11" t="n">
        <v>1.1</v>
      </c>
      <c r="K19" s="16" t="n">
        <v>0.798</v>
      </c>
      <c r="L19" s="11" t="n">
        <v>0.6006</v>
      </c>
      <c r="M19" s="11" t="n">
        <v>1.15</v>
      </c>
      <c r="N19" s="16" t="n">
        <v>0.5223</v>
      </c>
      <c r="O19" s="11" t="n">
        <v>31</v>
      </c>
    </row>
    <row r="20" ht="22" customHeight="1">
      <c r="A20" s="10" t="inlineStr">
        <is>
          <t>模型2_最大产量</t>
        </is>
      </c>
      <c r="B20" s="10" t="inlineStr">
        <is>
          <t>铲位6</t>
        </is>
      </c>
      <c r="C20" s="19" t="inlineStr">
        <is>
          <t>否</t>
        </is>
      </c>
      <c r="D20" s="10" t="n">
        <v>0</v>
      </c>
      <c r="E20" s="10" t="n">
        <v>0</v>
      </c>
      <c r="F20" s="10" t="n">
        <v>0</v>
      </c>
      <c r="G20" s="10" t="n">
        <v>96</v>
      </c>
      <c r="H20" s="16" t="n">
        <v>0</v>
      </c>
      <c r="I20" s="11" t="n">
        <v>0</v>
      </c>
      <c r="J20" s="11" t="n">
        <v>1.25</v>
      </c>
      <c r="K20" s="16" t="n">
        <v>0</v>
      </c>
      <c r="L20" s="11" t="n">
        <v>0</v>
      </c>
      <c r="M20" s="11" t="n">
        <v>1.35</v>
      </c>
      <c r="N20" s="16" t="n">
        <v>0</v>
      </c>
      <c r="O20" s="11" t="n">
        <v>33</v>
      </c>
    </row>
    <row r="21" ht="22" customHeight="1">
      <c r="A21" s="10" t="inlineStr">
        <is>
          <t>模型2_最大产量</t>
        </is>
      </c>
      <c r="B21" s="10" t="inlineStr">
        <is>
          <t>铲位7</t>
        </is>
      </c>
      <c r="C21" s="19" t="inlineStr">
        <is>
          <t>否</t>
        </is>
      </c>
      <c r="D21" s="10" t="n">
        <v>0</v>
      </c>
      <c r="E21" s="10" t="n">
        <v>0</v>
      </c>
      <c r="F21" s="10" t="n">
        <v>0</v>
      </c>
      <c r="G21" s="10" t="n">
        <v>96</v>
      </c>
      <c r="H21" s="16" t="n">
        <v>0</v>
      </c>
      <c r="I21" s="11" t="n">
        <v>0</v>
      </c>
      <c r="J21" s="11" t="n">
        <v>1.05</v>
      </c>
      <c r="K21" s="16" t="n">
        <v>0</v>
      </c>
      <c r="L21" s="11" t="n">
        <v>0</v>
      </c>
      <c r="M21" s="11" t="n">
        <v>1.05</v>
      </c>
      <c r="N21" s="16" t="n">
        <v>0</v>
      </c>
      <c r="O21" s="11" t="n">
        <v>32</v>
      </c>
    </row>
    <row r="22" ht="22" customHeight="1">
      <c r="A22" s="10" t="inlineStr">
        <is>
          <t>模型2_最大产量</t>
        </is>
      </c>
      <c r="B22" s="10" t="inlineStr">
        <is>
          <t>铲位8</t>
        </is>
      </c>
      <c r="C22" s="18" t="inlineStr">
        <is>
          <t>是</t>
        </is>
      </c>
      <c r="D22" s="10" t="n">
        <v>84</v>
      </c>
      <c r="E22" s="10" t="n">
        <v>0</v>
      </c>
      <c r="F22" s="10" t="n">
        <v>84</v>
      </c>
      <c r="G22" s="10" t="n">
        <v>96</v>
      </c>
      <c r="H22" s="16" t="n">
        <v>0.875</v>
      </c>
      <c r="I22" s="11" t="n">
        <v>1.2936</v>
      </c>
      <c r="J22" s="11" t="n">
        <v>1.3</v>
      </c>
      <c r="K22" s="16" t="n">
        <v>0.9951</v>
      </c>
      <c r="L22" s="11" t="n">
        <v>0</v>
      </c>
      <c r="M22" s="11" t="n">
        <v>1.15</v>
      </c>
      <c r="N22" s="16" t="n">
        <v>0</v>
      </c>
      <c r="O22" s="11" t="n">
        <v>31</v>
      </c>
    </row>
    <row r="23" ht="22" customHeight="1">
      <c r="A23" s="10" t="inlineStr">
        <is>
          <t>模型2_最大产量</t>
        </is>
      </c>
      <c r="B23" s="10" t="inlineStr">
        <is>
          <t>铲位9</t>
        </is>
      </c>
      <c r="C23" s="18" t="inlineStr">
        <is>
          <t>是</t>
        </is>
      </c>
      <c r="D23" s="10" t="n">
        <v>0</v>
      </c>
      <c r="E23" s="10" t="n">
        <v>76</v>
      </c>
      <c r="F23" s="10" t="n">
        <v>76</v>
      </c>
      <c r="G23" s="10" t="n">
        <v>96</v>
      </c>
      <c r="H23" s="16" t="n">
        <v>0.7917</v>
      </c>
      <c r="I23" s="11" t="n">
        <v>0</v>
      </c>
      <c r="J23" s="11" t="n">
        <v>1.35</v>
      </c>
      <c r="K23" s="16" t="n">
        <v>0</v>
      </c>
      <c r="L23" s="11" t="n">
        <v>1.1704</v>
      </c>
      <c r="M23" s="11" t="n">
        <v>1.35</v>
      </c>
      <c r="N23" s="16" t="n">
        <v>0.867</v>
      </c>
      <c r="O23" s="11" t="n">
        <v>33</v>
      </c>
    </row>
    <row r="24" ht="22" customHeight="1">
      <c r="A24" s="10" t="inlineStr">
        <is>
          <t>模型2_最大产量</t>
        </is>
      </c>
      <c r="B24" s="10" t="inlineStr">
        <is>
          <t>铲位10</t>
        </is>
      </c>
      <c r="C24" s="18" t="inlineStr">
        <is>
          <t>是</t>
        </is>
      </c>
      <c r="D24" s="10" t="n">
        <v>47</v>
      </c>
      <c r="E24" s="10" t="n">
        <v>45</v>
      </c>
      <c r="F24" s="10" t="n">
        <v>92</v>
      </c>
      <c r="G24" s="10" t="n">
        <v>96</v>
      </c>
      <c r="H24" s="16" t="n">
        <v>0.9583</v>
      </c>
      <c r="I24" s="11" t="n">
        <v>0.7238</v>
      </c>
      <c r="J24" s="11" t="n">
        <v>1.25</v>
      </c>
      <c r="K24" s="16" t="n">
        <v>0.579</v>
      </c>
      <c r="L24" s="11" t="n">
        <v>0.6929999999999999</v>
      </c>
      <c r="M24" s="11" t="n">
        <v>1.25</v>
      </c>
      <c r="N24" s="16" t="n">
        <v>0.5544</v>
      </c>
      <c r="O24" s="11" t="n">
        <v>31</v>
      </c>
    </row>
  </sheetData>
  <autoFilter ref="A4:O24"/>
  <mergeCells count="2">
    <mergeCell ref="A1:O1"/>
    <mergeCell ref="A2:O2"/>
  </mergeCells>
  <conditionalFormatting sqref="H5:H24">
    <cfRule type="dataBar" priority="1">
      <dataBar showValue="1">
        <cfvo type="num" val="0"/>
        <cfvo type="num" val="1"/>
        <color rgb="0063C384"/>
      </dataBar>
    </cfRule>
  </conditionalFormatting>
  <conditionalFormatting sqref="K5:K24">
    <cfRule type="dataBar" priority="2">
      <dataBar showValue="1">
        <cfvo type="num" val="0"/>
        <cfvo type="num" val="1"/>
        <color rgb="0063C384"/>
      </dataBar>
    </cfRule>
  </conditionalFormatting>
  <conditionalFormatting sqref="N5:N24">
    <cfRule type="dataBar" priority="3">
      <dataBar showValue="1">
        <cfvo type="num" val="0"/>
        <cfvo type="num" val="1"/>
        <color rgb="0063C384"/>
      </dataBar>
    </cfRule>
  </conditionalFormatting>
  <pageMargins left="0.3" right="0.3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22" customHeight="1">
      <c r="A1" s="1" t="inlineStr">
        <is>
          <t>车辆路线利用率分析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2" customHeight="1">
      <c r="A2" s="3" t="inlineStr">
        <is>
          <t>本表合并模型1和模型2的所有运输路线，用于比较路线车辆能力利用率、运输距离和吨公里贡献。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 ht="22" customHeight="1">
      <c r="A4" s="9" t="inlineStr">
        <is>
          <t>模型</t>
        </is>
      </c>
      <c r="B4" s="9" t="inlineStr">
        <is>
          <t>铲位</t>
        </is>
      </c>
      <c r="C4" s="9" t="inlineStr">
        <is>
          <t>卸点</t>
        </is>
      </c>
      <c r="D4" s="9" t="inlineStr">
        <is>
          <t>运输物料</t>
        </is>
      </c>
      <c r="E4" s="9" t="inlineStr">
        <is>
          <t>距离/km</t>
        </is>
      </c>
      <c r="F4" s="9" t="inlineStr">
        <is>
          <t>车辆数/辆</t>
        </is>
      </c>
      <c r="G4" s="9" t="inlineStr">
        <is>
          <t>运输趟数/趟</t>
        </is>
      </c>
      <c r="H4" s="9" t="inlineStr">
        <is>
          <t>单车最大趟数</t>
        </is>
      </c>
      <c r="I4" s="9" t="inlineStr">
        <is>
          <t>路线总能力/趟</t>
        </is>
      </c>
      <c r="J4" s="9" t="inlineStr">
        <is>
          <t>车辆利用率</t>
        </is>
      </c>
      <c r="K4" s="9" t="inlineStr">
        <is>
          <t>循环时间/min</t>
        </is>
      </c>
      <c r="L4" s="9" t="inlineStr">
        <is>
          <t>运输量/万吨</t>
        </is>
      </c>
      <c r="M4" s="9" t="inlineStr">
        <is>
          <t>单趟吨公里</t>
        </is>
      </c>
      <c r="N4" s="9" t="inlineStr">
        <is>
          <t>总运量/吨公里</t>
        </is>
      </c>
      <c r="O4" s="9" t="inlineStr">
        <is>
          <t>装车耗时/min</t>
        </is>
      </c>
      <c r="P4" s="9" t="inlineStr">
        <is>
          <t>卸车耗时/min</t>
        </is>
      </c>
      <c r="Q4" s="9" t="inlineStr">
        <is>
          <t>不等待约束</t>
        </is>
      </c>
      <c r="R4" s="2" t="n"/>
    </row>
    <row r="5" ht="22" customHeight="1">
      <c r="A5" s="10" t="inlineStr">
        <is>
          <t>模型1_总运量最小</t>
        </is>
      </c>
      <c r="B5" s="10" t="inlineStr">
        <is>
          <t>铲位1</t>
        </is>
      </c>
      <c r="C5" s="10" t="inlineStr">
        <is>
          <t>岩石漏</t>
        </is>
      </c>
      <c r="D5" s="10" t="inlineStr">
        <is>
          <t>岩石</t>
        </is>
      </c>
      <c r="E5" s="17" t="n">
        <v>0.64</v>
      </c>
      <c r="F5" s="10" t="n">
        <v>2</v>
      </c>
      <c r="G5" s="10" t="n">
        <v>81</v>
      </c>
      <c r="H5" s="10" t="n">
        <v>44</v>
      </c>
      <c r="I5" s="10" t="n">
        <v>88</v>
      </c>
      <c r="J5" s="16" t="n">
        <v>0.9205</v>
      </c>
      <c r="K5" s="17" t="n">
        <v>10.74</v>
      </c>
      <c r="L5" s="11" t="n">
        <v>1.2474</v>
      </c>
      <c r="M5" s="17" t="n">
        <v>98.56</v>
      </c>
      <c r="N5" s="17" t="n">
        <v>7983.36</v>
      </c>
      <c r="O5" s="10" t="n">
        <v>405</v>
      </c>
      <c r="P5" s="10" t="n">
        <v>243</v>
      </c>
      <c r="Q5" s="18" t="inlineStr">
        <is>
          <t>满足</t>
        </is>
      </c>
      <c r="R5" s="2" t="n"/>
    </row>
    <row r="6" ht="22" customHeight="1">
      <c r="A6" s="10" t="inlineStr">
        <is>
          <t>模型1_总运量最小</t>
        </is>
      </c>
      <c r="B6" s="10" t="inlineStr">
        <is>
          <t>铲位2</t>
        </is>
      </c>
      <c r="C6" s="10" t="inlineStr">
        <is>
          <t>矿石漏</t>
        </is>
      </c>
      <c r="D6" s="10" t="inlineStr">
        <is>
          <t>矿石</t>
        </is>
      </c>
      <c r="E6" s="17" t="n">
        <v>5.19</v>
      </c>
      <c r="F6" s="10" t="n">
        <v>1</v>
      </c>
      <c r="G6" s="10" t="n">
        <v>13</v>
      </c>
      <c r="H6" s="10" t="n">
        <v>15</v>
      </c>
      <c r="I6" s="10" t="n">
        <v>15</v>
      </c>
      <c r="J6" s="16" t="n">
        <v>0.8667</v>
      </c>
      <c r="K6" s="17" t="n">
        <v>30.24</v>
      </c>
      <c r="L6" s="11" t="n">
        <v>0.2002</v>
      </c>
      <c r="M6" s="17" t="n">
        <v>799.26</v>
      </c>
      <c r="N6" s="17" t="n">
        <v>10390.38</v>
      </c>
      <c r="O6" s="10" t="n">
        <v>65</v>
      </c>
      <c r="P6" s="10" t="n">
        <v>39</v>
      </c>
      <c r="Q6" s="18" t="inlineStr">
        <is>
          <t>满足</t>
        </is>
      </c>
      <c r="R6" s="2" t="n"/>
    </row>
    <row r="7" ht="22" customHeight="1">
      <c r="A7" s="10" t="inlineStr">
        <is>
          <t>模型1_总运量最小</t>
        </is>
      </c>
      <c r="B7" s="10" t="inlineStr">
        <is>
          <t>铲位2</t>
        </is>
      </c>
      <c r="C7" s="10" t="inlineStr">
        <is>
          <t>倒装场I</t>
        </is>
      </c>
      <c r="D7" s="10" t="inlineStr">
        <is>
          <t>矿石</t>
        </is>
      </c>
      <c r="E7" s="17" t="n">
        <v>0.99</v>
      </c>
      <c r="F7" s="10" t="n">
        <v>2</v>
      </c>
      <c r="G7" s="10" t="n">
        <v>42</v>
      </c>
      <c r="H7" s="10" t="n">
        <v>39</v>
      </c>
      <c r="I7" s="10" t="n">
        <v>78</v>
      </c>
      <c r="J7" s="16" t="n">
        <v>0.5385</v>
      </c>
      <c r="K7" s="17" t="n">
        <v>12.24</v>
      </c>
      <c r="L7" s="11" t="n">
        <v>0.6468</v>
      </c>
      <c r="M7" s="17" t="n">
        <v>152.46</v>
      </c>
      <c r="N7" s="17" t="n">
        <v>6403.32</v>
      </c>
      <c r="O7" s="10" t="n">
        <v>210</v>
      </c>
      <c r="P7" s="10" t="n">
        <v>126</v>
      </c>
      <c r="Q7" s="18" t="inlineStr">
        <is>
          <t>满足</t>
        </is>
      </c>
      <c r="R7" s="2" t="n"/>
    </row>
    <row r="8" ht="22" customHeight="1">
      <c r="A8" s="10" t="inlineStr">
        <is>
          <t>模型1_总运量最小</t>
        </is>
      </c>
      <c r="B8" s="10" t="inlineStr">
        <is>
          <t>铲位2</t>
        </is>
      </c>
      <c r="C8" s="10" t="inlineStr">
        <is>
          <t>倒装场II</t>
        </is>
      </c>
      <c r="D8" s="10" t="inlineStr">
        <is>
          <t>矿石</t>
        </is>
      </c>
      <c r="E8" s="17" t="n">
        <v>3.86</v>
      </c>
      <c r="F8" s="10" t="n">
        <v>1</v>
      </c>
      <c r="G8" s="10" t="n">
        <v>13</v>
      </c>
      <c r="H8" s="10" t="n">
        <v>19</v>
      </c>
      <c r="I8" s="10" t="n">
        <v>19</v>
      </c>
      <c r="J8" s="16" t="n">
        <v>0.6842</v>
      </c>
      <c r="K8" s="17" t="n">
        <v>24.54</v>
      </c>
      <c r="L8" s="11" t="n">
        <v>0.2002</v>
      </c>
      <c r="M8" s="17" t="n">
        <v>594.4400000000001</v>
      </c>
      <c r="N8" s="17" t="n">
        <v>7727.72</v>
      </c>
      <c r="O8" s="10" t="n">
        <v>65</v>
      </c>
      <c r="P8" s="10" t="n">
        <v>39</v>
      </c>
      <c r="Q8" s="18" t="inlineStr">
        <is>
          <t>满足</t>
        </is>
      </c>
      <c r="R8" s="2" t="n"/>
    </row>
    <row r="9" ht="22" customHeight="1">
      <c r="A9" s="10" t="inlineStr">
        <is>
          <t>模型1_总运量最小</t>
        </is>
      </c>
      <c r="B9" s="10" t="inlineStr">
        <is>
          <t>铲位3</t>
        </is>
      </c>
      <c r="C9" s="10" t="inlineStr">
        <is>
          <t>倒装场II</t>
        </is>
      </c>
      <c r="D9" s="10" t="inlineStr">
        <is>
          <t>矿石</t>
        </is>
      </c>
      <c r="E9" s="17" t="n">
        <v>3.72</v>
      </c>
      <c r="F9" s="10" t="n">
        <v>1</v>
      </c>
      <c r="G9" s="10" t="n">
        <v>2</v>
      </c>
      <c r="H9" s="10" t="n">
        <v>20</v>
      </c>
      <c r="I9" s="10" t="n">
        <v>20</v>
      </c>
      <c r="J9" s="16" t="n">
        <v>0.1</v>
      </c>
      <c r="K9" s="17" t="n">
        <v>23.94</v>
      </c>
      <c r="L9" s="11" t="n">
        <v>0.0308</v>
      </c>
      <c r="M9" s="17" t="n">
        <v>572.88</v>
      </c>
      <c r="N9" s="17" t="n">
        <v>1145.76</v>
      </c>
      <c r="O9" s="10" t="n">
        <v>10</v>
      </c>
      <c r="P9" s="10" t="n">
        <v>6</v>
      </c>
      <c r="Q9" s="18" t="inlineStr">
        <is>
          <t>满足</t>
        </is>
      </c>
      <c r="R9" s="2" t="n"/>
    </row>
    <row r="10" ht="22" customHeight="1">
      <c r="A10" s="10" t="inlineStr">
        <is>
          <t>模型1_总运量最小</t>
        </is>
      </c>
      <c r="B10" s="10" t="inlineStr">
        <is>
          <t>铲位3</t>
        </is>
      </c>
      <c r="C10" s="10" t="inlineStr">
        <is>
          <t>岩石漏</t>
        </is>
      </c>
      <c r="D10" s="10" t="inlineStr">
        <is>
          <t>岩石</t>
        </is>
      </c>
      <c r="E10" s="17" t="n">
        <v>1.27</v>
      </c>
      <c r="F10" s="10" t="n">
        <v>2</v>
      </c>
      <c r="G10" s="10" t="n">
        <v>43</v>
      </c>
      <c r="H10" s="10" t="n">
        <v>35</v>
      </c>
      <c r="I10" s="10" t="n">
        <v>70</v>
      </c>
      <c r="J10" s="16" t="n">
        <v>0.6143</v>
      </c>
      <c r="K10" s="17" t="n">
        <v>13.44</v>
      </c>
      <c r="L10" s="11" t="n">
        <v>0.6622</v>
      </c>
      <c r="M10" s="17" t="n">
        <v>195.58</v>
      </c>
      <c r="N10" s="17" t="n">
        <v>8409.940000000001</v>
      </c>
      <c r="O10" s="10" t="n">
        <v>215</v>
      </c>
      <c r="P10" s="10" t="n">
        <v>129</v>
      </c>
      <c r="Q10" s="18" t="inlineStr">
        <is>
          <t>满足</t>
        </is>
      </c>
      <c r="R10" s="2" t="n"/>
    </row>
    <row r="11" ht="22" customHeight="1">
      <c r="A11" s="10" t="inlineStr">
        <is>
          <t>模型1_总运量最小</t>
        </is>
      </c>
      <c r="B11" s="10" t="inlineStr">
        <is>
          <t>铲位4</t>
        </is>
      </c>
      <c r="C11" s="10" t="inlineStr">
        <is>
          <t>倒装场I</t>
        </is>
      </c>
      <c r="D11" s="10" t="inlineStr">
        <is>
          <t>矿石</t>
        </is>
      </c>
      <c r="E11" s="17" t="n">
        <v>1.13</v>
      </c>
      <c r="F11" s="10" t="n">
        <v>2</v>
      </c>
      <c r="G11" s="10" t="n">
        <v>43</v>
      </c>
      <c r="H11" s="10" t="n">
        <v>37</v>
      </c>
      <c r="I11" s="10" t="n">
        <v>74</v>
      </c>
      <c r="J11" s="16" t="n">
        <v>0.5810999999999999</v>
      </c>
      <c r="K11" s="17" t="n">
        <v>12.84</v>
      </c>
      <c r="L11" s="11" t="n">
        <v>0.6622</v>
      </c>
      <c r="M11" s="17" t="n">
        <v>174.02</v>
      </c>
      <c r="N11" s="17" t="n">
        <v>7482.86</v>
      </c>
      <c r="O11" s="10" t="n">
        <v>215</v>
      </c>
      <c r="P11" s="10" t="n">
        <v>129</v>
      </c>
      <c r="Q11" s="18" t="inlineStr">
        <is>
          <t>满足</t>
        </is>
      </c>
      <c r="R11" s="2" t="n"/>
    </row>
    <row r="12" ht="22" customHeight="1">
      <c r="A12" s="10" t="inlineStr">
        <is>
          <t>模型1_总运量最小</t>
        </is>
      </c>
      <c r="B12" s="10" t="inlineStr">
        <is>
          <t>铲位8</t>
        </is>
      </c>
      <c r="C12" s="10" t="inlineStr">
        <is>
          <t>矿石漏</t>
        </is>
      </c>
      <c r="D12" s="10" t="inlineStr">
        <is>
          <t>矿石</t>
        </is>
      </c>
      <c r="E12" s="17" t="n">
        <v>1.9</v>
      </c>
      <c r="F12" s="10" t="n">
        <v>2</v>
      </c>
      <c r="G12" s="10" t="n">
        <v>54</v>
      </c>
      <c r="H12" s="10" t="n">
        <v>29</v>
      </c>
      <c r="I12" s="10" t="n">
        <v>58</v>
      </c>
      <c r="J12" s="16" t="n">
        <v>0.931</v>
      </c>
      <c r="K12" s="17" t="n">
        <v>16.14</v>
      </c>
      <c r="L12" s="11" t="n">
        <v>0.8316</v>
      </c>
      <c r="M12" s="17" t="n">
        <v>292.6</v>
      </c>
      <c r="N12" s="17" t="n">
        <v>15800.4</v>
      </c>
      <c r="O12" s="10" t="n">
        <v>270</v>
      </c>
      <c r="P12" s="10" t="n">
        <v>162</v>
      </c>
      <c r="Q12" s="18" t="inlineStr">
        <is>
          <t>满足</t>
        </is>
      </c>
      <c r="R12" s="2" t="n"/>
    </row>
    <row r="13" ht="22" customHeight="1">
      <c r="A13" s="10" t="inlineStr">
        <is>
          <t>模型1_总运量最小</t>
        </is>
      </c>
      <c r="B13" s="10" t="inlineStr">
        <is>
          <t>铲位9</t>
        </is>
      </c>
      <c r="C13" s="10" t="inlineStr">
        <is>
          <t>岩场</t>
        </is>
      </c>
      <c r="D13" s="10" t="inlineStr">
        <is>
          <t>岩石</t>
        </is>
      </c>
      <c r="E13" s="17" t="n">
        <v>1.06</v>
      </c>
      <c r="F13" s="10" t="n">
        <v>2</v>
      </c>
      <c r="G13" s="10" t="n">
        <v>70</v>
      </c>
      <c r="H13" s="10" t="n">
        <v>38</v>
      </c>
      <c r="I13" s="10" t="n">
        <v>76</v>
      </c>
      <c r="J13" s="16" t="n">
        <v>0.9211</v>
      </c>
      <c r="K13" s="17" t="n">
        <v>12.54</v>
      </c>
      <c r="L13" s="11" t="n">
        <v>1.078</v>
      </c>
      <c r="M13" s="17" t="n">
        <v>163.24</v>
      </c>
      <c r="N13" s="17" t="n">
        <v>11426.8</v>
      </c>
      <c r="O13" s="10" t="n">
        <v>350</v>
      </c>
      <c r="P13" s="10" t="n">
        <v>210</v>
      </c>
      <c r="Q13" s="18" t="inlineStr">
        <is>
          <t>满足</t>
        </is>
      </c>
      <c r="R13" s="2" t="n"/>
    </row>
    <row r="14" ht="22" customHeight="1">
      <c r="A14" s="10" t="inlineStr">
        <is>
          <t>模型1_总运量最小</t>
        </is>
      </c>
      <c r="B14" s="10" t="inlineStr">
        <is>
          <t>铲位10</t>
        </is>
      </c>
      <c r="C14" s="10" t="inlineStr">
        <is>
          <t>矿石漏</t>
        </is>
      </c>
      <c r="D14" s="10" t="inlineStr">
        <is>
          <t>矿石</t>
        </is>
      </c>
      <c r="E14" s="17" t="n">
        <v>1.27</v>
      </c>
      <c r="F14" s="10" t="n">
        <v>1</v>
      </c>
      <c r="G14" s="10" t="n">
        <v>11</v>
      </c>
      <c r="H14" s="10" t="n">
        <v>35</v>
      </c>
      <c r="I14" s="10" t="n">
        <v>35</v>
      </c>
      <c r="J14" s="16" t="n">
        <v>0.3143</v>
      </c>
      <c r="K14" s="17" t="n">
        <v>13.44</v>
      </c>
      <c r="L14" s="11" t="n">
        <v>0.1694</v>
      </c>
      <c r="M14" s="17" t="n">
        <v>195.58</v>
      </c>
      <c r="N14" s="17" t="n">
        <v>2151.38</v>
      </c>
      <c r="O14" s="10" t="n">
        <v>55</v>
      </c>
      <c r="P14" s="10" t="n">
        <v>33</v>
      </c>
      <c r="Q14" s="18" t="inlineStr">
        <is>
          <t>满足</t>
        </is>
      </c>
      <c r="R14" s="2" t="n"/>
    </row>
    <row r="15" ht="22" customHeight="1">
      <c r="A15" s="10" t="inlineStr">
        <is>
          <t>模型1_总运量最小</t>
        </is>
      </c>
      <c r="B15" s="10" t="inlineStr">
        <is>
          <t>铲位10</t>
        </is>
      </c>
      <c r="C15" s="10" t="inlineStr">
        <is>
          <t>倒装场II</t>
        </is>
      </c>
      <c r="D15" s="10" t="inlineStr">
        <is>
          <t>矿石</t>
        </is>
      </c>
      <c r="E15" s="17" t="n">
        <v>0.5</v>
      </c>
      <c r="F15" s="10" t="n">
        <v>2</v>
      </c>
      <c r="G15" s="10" t="n">
        <v>70</v>
      </c>
      <c r="H15" s="10" t="n">
        <v>47</v>
      </c>
      <c r="I15" s="10" t="n">
        <v>94</v>
      </c>
      <c r="J15" s="16" t="n">
        <v>0.7447</v>
      </c>
      <c r="K15" s="17" t="n">
        <v>10.14</v>
      </c>
      <c r="L15" s="11" t="n">
        <v>1.078</v>
      </c>
      <c r="M15" s="17" t="n">
        <v>77</v>
      </c>
      <c r="N15" s="17" t="n">
        <v>5390</v>
      </c>
      <c r="O15" s="10" t="n">
        <v>350</v>
      </c>
      <c r="P15" s="10" t="n">
        <v>210</v>
      </c>
      <c r="Q15" s="18" t="inlineStr">
        <is>
          <t>满足</t>
        </is>
      </c>
      <c r="R15" s="2" t="n"/>
    </row>
    <row r="16" ht="22" customHeight="1">
      <c r="A16" s="10" t="inlineStr">
        <is>
          <t>模型1_总运量最小</t>
        </is>
      </c>
      <c r="B16" s="10" t="inlineStr">
        <is>
          <t>铲位10</t>
        </is>
      </c>
      <c r="C16" s="10" t="inlineStr">
        <is>
          <t>岩场</t>
        </is>
      </c>
      <c r="D16" s="10" t="inlineStr">
        <is>
          <t>岩石</t>
        </is>
      </c>
      <c r="E16" s="17" t="n">
        <v>0.57</v>
      </c>
      <c r="F16" s="10" t="n">
        <v>1</v>
      </c>
      <c r="G16" s="10" t="n">
        <v>15</v>
      </c>
      <c r="H16" s="10" t="n">
        <v>45</v>
      </c>
      <c r="I16" s="10" t="n">
        <v>45</v>
      </c>
      <c r="J16" s="16" t="n">
        <v>0.3333</v>
      </c>
      <c r="K16" s="17" t="n">
        <v>10.44</v>
      </c>
      <c r="L16" s="11" t="n">
        <v>0.231</v>
      </c>
      <c r="M16" s="17" t="n">
        <v>87.78</v>
      </c>
      <c r="N16" s="17" t="n">
        <v>1316.7</v>
      </c>
      <c r="O16" s="10" t="n">
        <v>75</v>
      </c>
      <c r="P16" s="10" t="n">
        <v>45</v>
      </c>
      <c r="Q16" s="18" t="inlineStr">
        <is>
          <t>满足</t>
        </is>
      </c>
      <c r="R16" s="2" t="n"/>
    </row>
    <row r="17" ht="22" customHeight="1">
      <c r="A17" s="10" t="inlineStr">
        <is>
          <t>模型2_最大产量</t>
        </is>
      </c>
      <c r="B17" s="10" t="inlineStr">
        <is>
          <t>铲位1</t>
        </is>
      </c>
      <c r="C17" s="10" t="inlineStr">
        <is>
          <t>岩石漏</t>
        </is>
      </c>
      <c r="D17" s="10" t="inlineStr">
        <is>
          <t>岩石</t>
        </is>
      </c>
      <c r="E17" s="17" t="n">
        <v>0.64</v>
      </c>
      <c r="F17" s="10" t="n">
        <v>2</v>
      </c>
      <c r="G17" s="10" t="n">
        <v>81</v>
      </c>
      <c r="H17" s="10" t="n">
        <v>44</v>
      </c>
      <c r="I17" s="10" t="n">
        <v>88</v>
      </c>
      <c r="J17" s="16" t="n">
        <v>0.9205</v>
      </c>
      <c r="K17" s="17" t="n">
        <v>10.74</v>
      </c>
      <c r="L17" s="11" t="n">
        <v>1.2474</v>
      </c>
      <c r="M17" s="17" t="n">
        <v>98.56</v>
      </c>
      <c r="N17" s="17" t="n">
        <v>7983.36</v>
      </c>
      <c r="O17" s="10" t="n">
        <v>405</v>
      </c>
      <c r="P17" s="10" t="n">
        <v>243</v>
      </c>
      <c r="Q17" s="18" t="inlineStr">
        <is>
          <t>满足</t>
        </is>
      </c>
      <c r="R17" s="2" t="n"/>
    </row>
    <row r="18" ht="22" customHeight="1">
      <c r="A18" s="10" t="inlineStr">
        <is>
          <t>模型2_最大产量</t>
        </is>
      </c>
      <c r="B18" s="10" t="inlineStr">
        <is>
          <t>铲位2</t>
        </is>
      </c>
      <c r="C18" s="10" t="inlineStr">
        <is>
          <t>矿石漏</t>
        </is>
      </c>
      <c r="D18" s="10" t="inlineStr">
        <is>
          <t>矿石</t>
        </is>
      </c>
      <c r="E18" s="17" t="n">
        <v>5.19</v>
      </c>
      <c r="F18" s="10" t="n">
        <v>1</v>
      </c>
      <c r="G18" s="10" t="n">
        <v>15</v>
      </c>
      <c r="H18" s="10" t="n">
        <v>15</v>
      </c>
      <c r="I18" s="10" t="n">
        <v>15</v>
      </c>
      <c r="J18" s="16" t="n">
        <v>1</v>
      </c>
      <c r="K18" s="17" t="n">
        <v>30.24</v>
      </c>
      <c r="L18" s="11" t="n">
        <v>0.231</v>
      </c>
      <c r="M18" s="17" t="n">
        <v>799.26</v>
      </c>
      <c r="N18" s="17" t="n">
        <v>11988.9</v>
      </c>
      <c r="O18" s="10" t="n">
        <v>75</v>
      </c>
      <c r="P18" s="10" t="n">
        <v>45</v>
      </c>
      <c r="Q18" s="18" t="inlineStr">
        <is>
          <t>满足</t>
        </is>
      </c>
      <c r="R18" s="2" t="n"/>
    </row>
    <row r="19" ht="22" customHeight="1">
      <c r="A19" s="10" t="inlineStr">
        <is>
          <t>模型2_最大产量</t>
        </is>
      </c>
      <c r="B19" s="10" t="inlineStr">
        <is>
          <t>铲位2</t>
        </is>
      </c>
      <c r="C19" s="10" t="inlineStr">
        <is>
          <t>倒装场I</t>
        </is>
      </c>
      <c r="D19" s="10" t="inlineStr">
        <is>
          <t>矿石</t>
        </is>
      </c>
      <c r="E19" s="17" t="n">
        <v>0.99</v>
      </c>
      <c r="F19" s="10" t="n">
        <v>1</v>
      </c>
      <c r="G19" s="10" t="n">
        <v>37</v>
      </c>
      <c r="H19" s="10" t="n">
        <v>39</v>
      </c>
      <c r="I19" s="10" t="n">
        <v>39</v>
      </c>
      <c r="J19" s="16" t="n">
        <v>0.9487</v>
      </c>
      <c r="K19" s="17" t="n">
        <v>12.24</v>
      </c>
      <c r="L19" s="11" t="n">
        <v>0.5698</v>
      </c>
      <c r="M19" s="17" t="n">
        <v>152.46</v>
      </c>
      <c r="N19" s="17" t="n">
        <v>5641.02</v>
      </c>
      <c r="O19" s="10" t="n">
        <v>185</v>
      </c>
      <c r="P19" s="10" t="n">
        <v>111</v>
      </c>
      <c r="Q19" s="18" t="inlineStr">
        <is>
          <t>满足</t>
        </is>
      </c>
      <c r="R19" s="2" t="n"/>
    </row>
    <row r="20" ht="22" customHeight="1">
      <c r="A20" s="10" t="inlineStr">
        <is>
          <t>模型2_最大产量</t>
        </is>
      </c>
      <c r="B20" s="10" t="inlineStr">
        <is>
          <t>铲位2</t>
        </is>
      </c>
      <c r="C20" s="10" t="inlineStr">
        <is>
          <t>倒装场II</t>
        </is>
      </c>
      <c r="D20" s="10" t="inlineStr">
        <is>
          <t>矿石</t>
        </is>
      </c>
      <c r="E20" s="17" t="n">
        <v>3.86</v>
      </c>
      <c r="F20" s="10" t="n">
        <v>1</v>
      </c>
      <c r="G20" s="10" t="n">
        <v>16</v>
      </c>
      <c r="H20" s="10" t="n">
        <v>19</v>
      </c>
      <c r="I20" s="10" t="n">
        <v>19</v>
      </c>
      <c r="J20" s="16" t="n">
        <v>0.8421</v>
      </c>
      <c r="K20" s="17" t="n">
        <v>24.54</v>
      </c>
      <c r="L20" s="11" t="n">
        <v>0.2464</v>
      </c>
      <c r="M20" s="17" t="n">
        <v>594.4400000000001</v>
      </c>
      <c r="N20" s="17" t="n">
        <v>9511.040000000001</v>
      </c>
      <c r="O20" s="10" t="n">
        <v>80</v>
      </c>
      <c r="P20" s="10" t="n">
        <v>48</v>
      </c>
      <c r="Q20" s="18" t="inlineStr">
        <is>
          <t>满足</t>
        </is>
      </c>
      <c r="R20" s="2" t="n"/>
    </row>
    <row r="21" ht="22" customHeight="1">
      <c r="A21" s="10" t="inlineStr">
        <is>
          <t>模型2_最大产量</t>
        </is>
      </c>
      <c r="B21" s="10" t="inlineStr">
        <is>
          <t>铲位2</t>
        </is>
      </c>
      <c r="C21" s="10" t="inlineStr">
        <is>
          <t>岩石漏</t>
        </is>
      </c>
      <c r="D21" s="10" t="inlineStr">
        <is>
          <t>岩石</t>
        </is>
      </c>
      <c r="E21" s="17" t="n">
        <v>1.76</v>
      </c>
      <c r="F21" s="10" t="n">
        <v>1</v>
      </c>
      <c r="G21" s="10" t="n">
        <v>28</v>
      </c>
      <c r="H21" s="10" t="n">
        <v>30</v>
      </c>
      <c r="I21" s="10" t="n">
        <v>30</v>
      </c>
      <c r="J21" s="16" t="n">
        <v>0.9333</v>
      </c>
      <c r="K21" s="17" t="n">
        <v>15.54</v>
      </c>
      <c r="L21" s="11" t="n">
        <v>0.4312</v>
      </c>
      <c r="M21" s="17" t="n">
        <v>271.04</v>
      </c>
      <c r="N21" s="17" t="n">
        <v>7589.12</v>
      </c>
      <c r="O21" s="10" t="n">
        <v>140</v>
      </c>
      <c r="P21" s="10" t="n">
        <v>84</v>
      </c>
      <c r="Q21" s="18" t="inlineStr">
        <is>
          <t>满足</t>
        </is>
      </c>
      <c r="R21" s="2" t="n"/>
    </row>
    <row r="22" ht="22" customHeight="1">
      <c r="A22" s="10" t="inlineStr">
        <is>
          <t>模型2_最大产量</t>
        </is>
      </c>
      <c r="B22" s="10" t="inlineStr">
        <is>
          <t>铲位4</t>
        </is>
      </c>
      <c r="C22" s="10" t="inlineStr">
        <is>
          <t>倒装场I</t>
        </is>
      </c>
      <c r="D22" s="10" t="inlineStr">
        <is>
          <t>矿石</t>
        </is>
      </c>
      <c r="E22" s="17" t="n">
        <v>1.13</v>
      </c>
      <c r="F22" s="10" t="n">
        <v>1</v>
      </c>
      <c r="G22" s="10" t="n">
        <v>37</v>
      </c>
      <c r="H22" s="10" t="n">
        <v>37</v>
      </c>
      <c r="I22" s="10" t="n">
        <v>37</v>
      </c>
      <c r="J22" s="16" t="n">
        <v>1</v>
      </c>
      <c r="K22" s="17" t="n">
        <v>12.84</v>
      </c>
      <c r="L22" s="11" t="n">
        <v>0.5698</v>
      </c>
      <c r="M22" s="17" t="n">
        <v>174.02</v>
      </c>
      <c r="N22" s="17" t="n">
        <v>6438.74</v>
      </c>
      <c r="O22" s="10" t="n">
        <v>185</v>
      </c>
      <c r="P22" s="10" t="n">
        <v>111</v>
      </c>
      <c r="Q22" s="18" t="inlineStr">
        <is>
          <t>满足</t>
        </is>
      </c>
      <c r="R22" s="2" t="n"/>
    </row>
    <row r="23" ht="22" customHeight="1">
      <c r="A23" s="10" t="inlineStr">
        <is>
          <t>模型2_最大产量</t>
        </is>
      </c>
      <c r="B23" s="10" t="inlineStr">
        <is>
          <t>铲位4</t>
        </is>
      </c>
      <c r="C23" s="10" t="inlineStr">
        <is>
          <t>岩石漏</t>
        </is>
      </c>
      <c r="D23" s="10" t="inlineStr">
        <is>
          <t>岩石</t>
        </is>
      </c>
      <c r="E23" s="17" t="n">
        <v>1.83</v>
      </c>
      <c r="F23" s="10" t="n">
        <v>2</v>
      </c>
      <c r="G23" s="10" t="n">
        <v>51</v>
      </c>
      <c r="H23" s="10" t="n">
        <v>30</v>
      </c>
      <c r="I23" s="10" t="n">
        <v>60</v>
      </c>
      <c r="J23" s="16" t="n">
        <v>0.85</v>
      </c>
      <c r="K23" s="17" t="n">
        <v>15.84</v>
      </c>
      <c r="L23" s="11" t="n">
        <v>0.7854</v>
      </c>
      <c r="M23" s="17" t="n">
        <v>281.82</v>
      </c>
      <c r="N23" s="17" t="n">
        <v>14372.82</v>
      </c>
      <c r="O23" s="10" t="n">
        <v>255</v>
      </c>
      <c r="P23" s="10" t="n">
        <v>153</v>
      </c>
      <c r="Q23" s="18" t="inlineStr">
        <is>
          <t>满足</t>
        </is>
      </c>
      <c r="R23" s="2" t="n"/>
    </row>
    <row r="24" ht="22" customHeight="1">
      <c r="A24" s="10" t="inlineStr">
        <is>
          <t>模型2_最大产量</t>
        </is>
      </c>
      <c r="B24" s="10" t="inlineStr">
        <is>
          <t>铲位5</t>
        </is>
      </c>
      <c r="C24" s="10" t="inlineStr">
        <is>
          <t>矿石漏</t>
        </is>
      </c>
      <c r="D24" s="10" t="inlineStr">
        <is>
          <t>矿石</t>
        </is>
      </c>
      <c r="E24" s="17" t="n">
        <v>2.95</v>
      </c>
      <c r="F24" s="10" t="n">
        <v>1</v>
      </c>
      <c r="G24" s="10" t="n">
        <v>22</v>
      </c>
      <c r="H24" s="10" t="n">
        <v>23</v>
      </c>
      <c r="I24" s="10" t="n">
        <v>23</v>
      </c>
      <c r="J24" s="16" t="n">
        <v>0.9565</v>
      </c>
      <c r="K24" s="17" t="n">
        <v>20.64</v>
      </c>
      <c r="L24" s="11" t="n">
        <v>0.3388</v>
      </c>
      <c r="M24" s="17" t="n">
        <v>454.3</v>
      </c>
      <c r="N24" s="17" t="n">
        <v>9994.6</v>
      </c>
      <c r="O24" s="10" t="n">
        <v>110</v>
      </c>
      <c r="P24" s="10" t="n">
        <v>66</v>
      </c>
      <c r="Q24" s="18" t="inlineStr">
        <is>
          <t>满足</t>
        </is>
      </c>
      <c r="R24" s="2" t="n"/>
    </row>
    <row r="25" ht="22" customHeight="1">
      <c r="A25" s="10" t="inlineStr">
        <is>
          <t>模型2_最大产量</t>
        </is>
      </c>
      <c r="B25" s="10" t="inlineStr">
        <is>
          <t>铲位5</t>
        </is>
      </c>
      <c r="C25" s="10" t="inlineStr">
        <is>
          <t>倒装场I</t>
        </is>
      </c>
      <c r="D25" s="10" t="inlineStr">
        <is>
          <t>矿石</t>
        </is>
      </c>
      <c r="E25" s="17" t="n">
        <v>1.27</v>
      </c>
      <c r="F25" s="10" t="n">
        <v>1</v>
      </c>
      <c r="G25" s="10" t="n">
        <v>35</v>
      </c>
      <c r="H25" s="10" t="n">
        <v>35</v>
      </c>
      <c r="I25" s="10" t="n">
        <v>35</v>
      </c>
      <c r="J25" s="16" t="n">
        <v>1</v>
      </c>
      <c r="K25" s="17" t="n">
        <v>13.44</v>
      </c>
      <c r="L25" s="11" t="n">
        <v>0.539</v>
      </c>
      <c r="M25" s="17" t="n">
        <v>195.58</v>
      </c>
      <c r="N25" s="17" t="n">
        <v>6845.3</v>
      </c>
      <c r="O25" s="10" t="n">
        <v>175</v>
      </c>
      <c r="P25" s="10" t="n">
        <v>105</v>
      </c>
      <c r="Q25" s="18" t="inlineStr">
        <is>
          <t>满足</t>
        </is>
      </c>
      <c r="R25" s="2" t="n"/>
    </row>
    <row r="26" ht="22" customHeight="1">
      <c r="A26" s="10" t="inlineStr">
        <is>
          <t>模型2_最大产量</t>
        </is>
      </c>
      <c r="B26" s="10" t="inlineStr">
        <is>
          <t>铲位5</t>
        </is>
      </c>
      <c r="C26" s="10" t="inlineStr">
        <is>
          <t>岩场</t>
        </is>
      </c>
      <c r="D26" s="10" t="inlineStr">
        <is>
          <t>岩石</t>
        </is>
      </c>
      <c r="E26" s="17" t="n">
        <v>3.51</v>
      </c>
      <c r="F26" s="10" t="n">
        <v>2</v>
      </c>
      <c r="G26" s="10" t="n">
        <v>39</v>
      </c>
      <c r="H26" s="10" t="n">
        <v>20</v>
      </c>
      <c r="I26" s="10" t="n">
        <v>40</v>
      </c>
      <c r="J26" s="16" t="n">
        <v>0.975</v>
      </c>
      <c r="K26" s="17" t="n">
        <v>23.04</v>
      </c>
      <c r="L26" s="11" t="n">
        <v>0.6006</v>
      </c>
      <c r="M26" s="17" t="n">
        <v>540.54</v>
      </c>
      <c r="N26" s="17" t="n">
        <v>21081.06</v>
      </c>
      <c r="O26" s="10" t="n">
        <v>195</v>
      </c>
      <c r="P26" s="10" t="n">
        <v>117</v>
      </c>
      <c r="Q26" s="18" t="inlineStr">
        <is>
          <t>满足</t>
        </is>
      </c>
      <c r="R26" s="2" t="n"/>
    </row>
    <row r="27" ht="22" customHeight="1">
      <c r="A27" s="10" t="inlineStr">
        <is>
          <t>模型2_最大产量</t>
        </is>
      </c>
      <c r="B27" s="10" t="inlineStr">
        <is>
          <t>铲位8</t>
        </is>
      </c>
      <c r="C27" s="10" t="inlineStr">
        <is>
          <t>矿石漏</t>
        </is>
      </c>
      <c r="D27" s="10" t="inlineStr">
        <is>
          <t>矿石</t>
        </is>
      </c>
      <c r="E27" s="17" t="n">
        <v>1.9</v>
      </c>
      <c r="F27" s="10" t="n">
        <v>2</v>
      </c>
      <c r="G27" s="10" t="n">
        <v>52</v>
      </c>
      <c r="H27" s="10" t="n">
        <v>29</v>
      </c>
      <c r="I27" s="10" t="n">
        <v>58</v>
      </c>
      <c r="J27" s="16" t="n">
        <v>0.8966</v>
      </c>
      <c r="K27" s="17" t="n">
        <v>16.14</v>
      </c>
      <c r="L27" s="11" t="n">
        <v>0.8008</v>
      </c>
      <c r="M27" s="17" t="n">
        <v>292.6</v>
      </c>
      <c r="N27" s="17" t="n">
        <v>15215.2</v>
      </c>
      <c r="O27" s="10" t="n">
        <v>260</v>
      </c>
      <c r="P27" s="10" t="n">
        <v>156</v>
      </c>
      <c r="Q27" s="18" t="inlineStr">
        <is>
          <t>满足</t>
        </is>
      </c>
      <c r="R27" s="2" t="n"/>
    </row>
    <row r="28" ht="22" customHeight="1">
      <c r="A28" s="10" t="inlineStr">
        <is>
          <t>模型2_最大产量</t>
        </is>
      </c>
      <c r="B28" s="10" t="inlineStr">
        <is>
          <t>铲位8</t>
        </is>
      </c>
      <c r="C28" s="10" t="inlineStr">
        <is>
          <t>倒装场II</t>
        </is>
      </c>
      <c r="D28" s="10" t="inlineStr">
        <is>
          <t>矿石</t>
        </is>
      </c>
      <c r="E28" s="17" t="n">
        <v>1.62</v>
      </c>
      <c r="F28" s="10" t="n">
        <v>1</v>
      </c>
      <c r="G28" s="10" t="n">
        <v>32</v>
      </c>
      <c r="H28" s="10" t="n">
        <v>32</v>
      </c>
      <c r="I28" s="10" t="n">
        <v>32</v>
      </c>
      <c r="J28" s="16" t="n">
        <v>1</v>
      </c>
      <c r="K28" s="17" t="n">
        <v>14.94</v>
      </c>
      <c r="L28" s="11" t="n">
        <v>0.4928</v>
      </c>
      <c r="M28" s="17" t="n">
        <v>249.48</v>
      </c>
      <c r="N28" s="17" t="n">
        <v>7983.36</v>
      </c>
      <c r="O28" s="10" t="n">
        <v>160</v>
      </c>
      <c r="P28" s="10" t="n">
        <v>96</v>
      </c>
      <c r="Q28" s="18" t="inlineStr">
        <is>
          <t>满足</t>
        </is>
      </c>
      <c r="R28" s="2" t="n"/>
    </row>
    <row r="29" ht="22" customHeight="1">
      <c r="A29" s="10" t="inlineStr">
        <is>
          <t>模型2_最大产量</t>
        </is>
      </c>
      <c r="B29" s="10" t="inlineStr">
        <is>
          <t>铲位9</t>
        </is>
      </c>
      <c r="C29" s="10" t="inlineStr">
        <is>
          <t>岩场</t>
        </is>
      </c>
      <c r="D29" s="10" t="inlineStr">
        <is>
          <t>岩石</t>
        </is>
      </c>
      <c r="E29" s="17" t="n">
        <v>1.06</v>
      </c>
      <c r="F29" s="10" t="n">
        <v>2</v>
      </c>
      <c r="G29" s="10" t="n">
        <v>76</v>
      </c>
      <c r="H29" s="10" t="n">
        <v>38</v>
      </c>
      <c r="I29" s="10" t="n">
        <v>76</v>
      </c>
      <c r="J29" s="16" t="n">
        <v>1</v>
      </c>
      <c r="K29" s="17" t="n">
        <v>12.54</v>
      </c>
      <c r="L29" s="11" t="n">
        <v>1.1704</v>
      </c>
      <c r="M29" s="17" t="n">
        <v>163.24</v>
      </c>
      <c r="N29" s="17" t="n">
        <v>12406.24</v>
      </c>
      <c r="O29" s="10" t="n">
        <v>380</v>
      </c>
      <c r="P29" s="10" t="n">
        <v>228</v>
      </c>
      <c r="Q29" s="18" t="inlineStr">
        <is>
          <t>满足</t>
        </is>
      </c>
      <c r="R29" s="2" t="n"/>
    </row>
    <row r="30" ht="22" customHeight="1">
      <c r="A30" s="10" t="inlineStr">
        <is>
          <t>模型2_最大产量</t>
        </is>
      </c>
      <c r="B30" s="10" t="inlineStr">
        <is>
          <t>铲位10</t>
        </is>
      </c>
      <c r="C30" s="10" t="inlineStr">
        <is>
          <t>倒装场II</t>
        </is>
      </c>
      <c r="D30" s="10" t="inlineStr">
        <is>
          <t>矿石</t>
        </is>
      </c>
      <c r="E30" s="17" t="n">
        <v>0.5</v>
      </c>
      <c r="F30" s="10" t="n">
        <v>1</v>
      </c>
      <c r="G30" s="10" t="n">
        <v>47</v>
      </c>
      <c r="H30" s="10" t="n">
        <v>47</v>
      </c>
      <c r="I30" s="10" t="n">
        <v>47</v>
      </c>
      <c r="J30" s="16" t="n">
        <v>1</v>
      </c>
      <c r="K30" s="17" t="n">
        <v>10.14</v>
      </c>
      <c r="L30" s="11" t="n">
        <v>0.7238</v>
      </c>
      <c r="M30" s="17" t="n">
        <v>77</v>
      </c>
      <c r="N30" s="17" t="n">
        <v>3619</v>
      </c>
      <c r="O30" s="10" t="n">
        <v>235</v>
      </c>
      <c r="P30" s="10" t="n">
        <v>141</v>
      </c>
      <c r="Q30" s="18" t="inlineStr">
        <is>
          <t>满足</t>
        </is>
      </c>
      <c r="R30" s="2" t="n"/>
    </row>
    <row r="31" ht="22" customHeight="1">
      <c r="A31" s="10" t="inlineStr">
        <is>
          <t>模型2_最大产量</t>
        </is>
      </c>
      <c r="B31" s="10" t="inlineStr">
        <is>
          <t>铲位10</t>
        </is>
      </c>
      <c r="C31" s="10" t="inlineStr">
        <is>
          <t>岩场</t>
        </is>
      </c>
      <c r="D31" s="10" t="inlineStr">
        <is>
          <t>岩石</t>
        </is>
      </c>
      <c r="E31" s="17" t="n">
        <v>0.57</v>
      </c>
      <c r="F31" s="10" t="n">
        <v>1</v>
      </c>
      <c r="G31" s="10" t="n">
        <v>45</v>
      </c>
      <c r="H31" s="10" t="n">
        <v>45</v>
      </c>
      <c r="I31" s="10" t="n">
        <v>45</v>
      </c>
      <c r="J31" s="16" t="n">
        <v>1</v>
      </c>
      <c r="K31" s="17" t="n">
        <v>10.44</v>
      </c>
      <c r="L31" s="11" t="n">
        <v>0.6929999999999999</v>
      </c>
      <c r="M31" s="17" t="n">
        <v>87.78</v>
      </c>
      <c r="N31" s="17" t="n">
        <v>3950.1</v>
      </c>
      <c r="O31" s="10" t="n">
        <v>225</v>
      </c>
      <c r="P31" s="10" t="n">
        <v>135</v>
      </c>
      <c r="Q31" s="18" t="inlineStr">
        <is>
          <t>满足</t>
        </is>
      </c>
      <c r="R31" s="2" t="n"/>
    </row>
  </sheetData>
  <autoFilter ref="A4:Q31"/>
  <mergeCells count="2">
    <mergeCell ref="A2:R2"/>
    <mergeCell ref="A1:R1"/>
  </mergeCells>
  <conditionalFormatting sqref="J5:J31">
    <cfRule type="dataBar" priority="1">
      <dataBar showValue="1">
        <cfvo type="num" val="0"/>
        <cfvo type="num" val="1"/>
        <color rgb="0063C384"/>
      </dataBar>
    </cfRule>
  </conditionalFormatting>
  <pageMargins left="0.3" right="0.3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题目原始数据与参数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>
        <is>
          <t>本表汇总铲位储量、矿石品位、卸点需求、设备参数与距离矩阵，便于复核。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9" t="inlineStr">
        <is>
          <t>参数</t>
        </is>
      </c>
      <c r="B4" s="9" t="inlineStr">
        <is>
          <t>数值</t>
        </is>
      </c>
      <c r="C4" s="9" t="inlineStr">
        <is>
          <t>单位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22" customHeight="1">
      <c r="A5" s="10" t="inlineStr">
        <is>
          <t>卡车载重</t>
        </is>
      </c>
      <c r="B5" s="10" t="n">
        <v>154</v>
      </c>
      <c r="C5" s="10" t="inlineStr">
        <is>
          <t>吨/车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22" customHeight="1">
      <c r="A6" s="10" t="inlineStr">
        <is>
          <t>卡车载重</t>
        </is>
      </c>
      <c r="B6" s="11" t="n">
        <v>0.0154</v>
      </c>
      <c r="C6" s="10" t="inlineStr">
        <is>
          <t>万吨/车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22" customHeight="1">
      <c r="A7" s="10" t="inlineStr">
        <is>
          <t>班次时长</t>
        </is>
      </c>
      <c r="B7" s="10" t="n">
        <v>480</v>
      </c>
      <c r="C7" s="10" t="inlineStr">
        <is>
          <t>分钟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2" customHeight="1">
      <c r="A8" s="10" t="inlineStr">
        <is>
          <t>电铲装车时间</t>
        </is>
      </c>
      <c r="B8" s="10" t="n">
        <v>5</v>
      </c>
      <c r="C8" s="10" t="inlineStr">
        <is>
          <t>分钟/车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 ht="22" customHeight="1">
      <c r="A9" s="10" t="inlineStr">
        <is>
          <t>卸点卸车时间</t>
        </is>
      </c>
      <c r="B9" s="10" t="n">
        <v>3</v>
      </c>
      <c r="C9" s="10" t="inlineStr">
        <is>
          <t>分钟/车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 ht="22" customHeight="1">
      <c r="A10" s="10" t="inlineStr">
        <is>
          <t>卡车速度</t>
        </is>
      </c>
      <c r="B10" s="10" t="n">
        <v>28</v>
      </c>
      <c r="C10" s="10" t="inlineStr">
        <is>
          <t>km/h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22" customHeight="1">
      <c r="A11" s="10" t="inlineStr">
        <is>
          <t>现有电铲数</t>
        </is>
      </c>
      <c r="B11" s="10" t="n">
        <v>7</v>
      </c>
      <c r="C11" s="10" t="inlineStr">
        <is>
          <t>台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 ht="22" customHeight="1">
      <c r="A12" s="10" t="inlineStr">
        <is>
          <t>现有卡车数</t>
        </is>
      </c>
      <c r="B12" s="10" t="n">
        <v>20</v>
      </c>
      <c r="C12" s="10" t="inlineStr">
        <is>
          <t>辆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22" customHeight="1">
      <c r="A13" s="10" t="inlineStr">
        <is>
          <t>单台电铲最大装车次数</t>
        </is>
      </c>
      <c r="B13" s="10" t="n">
        <v>96</v>
      </c>
      <c r="C13" s="10" t="inlineStr">
        <is>
          <t>趟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22" customHeight="1">
      <c r="A14" s="10" t="inlineStr">
        <is>
          <t>单个卸点最大卸车次数</t>
        </is>
      </c>
      <c r="B14" s="10" t="n">
        <v>160</v>
      </c>
      <c r="C14" s="10" t="inlineStr">
        <is>
          <t>趟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 ht="22" customHeight="1">
      <c r="A15" s="10" t="inlineStr">
        <is>
          <t>品位下限</t>
        </is>
      </c>
      <c r="B15" s="11" t="n">
        <v>28.5</v>
      </c>
      <c r="C15" s="10" t="inlineStr">
        <is>
          <t>%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22" customHeight="1">
      <c r="A16" s="10" t="inlineStr">
        <is>
          <t>品位上限</t>
        </is>
      </c>
      <c r="B16" s="11" t="n">
        <v>30.5</v>
      </c>
      <c r="C16" s="10" t="inlineStr">
        <is>
          <t>%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 ht="22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 ht="22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 ht="22" customHeight="1">
      <c r="A19" s="9" t="inlineStr">
        <is>
          <t>铲位</t>
        </is>
      </c>
      <c r="B19" s="9" t="inlineStr">
        <is>
          <t>矿石量/万吨</t>
        </is>
      </c>
      <c r="C19" s="9" t="inlineStr">
        <is>
          <t>岩石量/万吨</t>
        </is>
      </c>
      <c r="D19" s="9" t="inlineStr">
        <is>
          <t>矿石品位/%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22" customHeight="1">
      <c r="A20" s="10" t="inlineStr">
        <is>
          <t>铲位1</t>
        </is>
      </c>
      <c r="B20" s="11" t="n">
        <v>0.95</v>
      </c>
      <c r="C20" s="11" t="n">
        <v>1.25</v>
      </c>
      <c r="D20" s="11" t="n">
        <v>30</v>
      </c>
      <c r="E20" s="2" t="n"/>
      <c r="F20" s="2" t="n"/>
      <c r="G20" s="2" t="n"/>
      <c r="H20" s="2" t="n"/>
      <c r="I20" s="2" t="n"/>
      <c r="J20" s="2" t="n"/>
      <c r="K20" s="2" t="n"/>
      <c r="L20" s="2" t="n"/>
    </row>
    <row r="21" ht="22" customHeight="1">
      <c r="A21" s="10" t="inlineStr">
        <is>
          <t>铲位2</t>
        </is>
      </c>
      <c r="B21" s="11" t="n">
        <v>1.05</v>
      </c>
      <c r="C21" s="11" t="n">
        <v>1.1</v>
      </c>
      <c r="D21" s="11" t="n">
        <v>28</v>
      </c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22" customHeight="1">
      <c r="A22" s="10" t="inlineStr">
        <is>
          <t>铲位3</t>
        </is>
      </c>
      <c r="B22" s="11" t="n">
        <v>1</v>
      </c>
      <c r="C22" s="11" t="n">
        <v>1.35</v>
      </c>
      <c r="D22" s="11" t="n">
        <v>29</v>
      </c>
      <c r="E22" s="2" t="n"/>
      <c r="F22" s="2" t="n"/>
      <c r="G22" s="2" t="n"/>
      <c r="H22" s="2" t="n"/>
      <c r="I22" s="2" t="n"/>
      <c r="J22" s="2" t="n"/>
      <c r="K22" s="2" t="n"/>
      <c r="L22" s="2" t="n"/>
    </row>
    <row r="23" ht="22" customHeight="1">
      <c r="A23" s="10" t="inlineStr">
        <is>
          <t>铲位4</t>
        </is>
      </c>
      <c r="B23" s="11" t="n">
        <v>1.05</v>
      </c>
      <c r="C23" s="11" t="n">
        <v>1.05</v>
      </c>
      <c r="D23" s="11" t="n">
        <v>32</v>
      </c>
      <c r="E23" s="2" t="n"/>
      <c r="F23" s="2" t="n"/>
      <c r="G23" s="2" t="n"/>
      <c r="H23" s="2" t="n"/>
      <c r="I23" s="2" t="n"/>
      <c r="J23" s="2" t="n"/>
      <c r="K23" s="2" t="n"/>
      <c r="L23" s="2" t="n"/>
    </row>
    <row r="24" ht="22" customHeight="1">
      <c r="A24" s="10" t="inlineStr">
        <is>
          <t>铲位5</t>
        </is>
      </c>
      <c r="B24" s="11" t="n">
        <v>1.1</v>
      </c>
      <c r="C24" s="11" t="n">
        <v>1.15</v>
      </c>
      <c r="D24" s="11" t="n">
        <v>31</v>
      </c>
      <c r="E24" s="2" t="n"/>
      <c r="F24" s="2" t="n"/>
      <c r="G24" s="2" t="n"/>
      <c r="H24" s="2" t="n"/>
      <c r="I24" s="2" t="n"/>
      <c r="J24" s="2" t="n"/>
      <c r="K24" s="2" t="n"/>
      <c r="L24" s="2" t="n"/>
    </row>
    <row r="25" ht="22" customHeight="1">
      <c r="A25" s="10" t="inlineStr">
        <is>
          <t>铲位6</t>
        </is>
      </c>
      <c r="B25" s="11" t="n">
        <v>1.25</v>
      </c>
      <c r="C25" s="11" t="n">
        <v>1.35</v>
      </c>
      <c r="D25" s="11" t="n">
        <v>33</v>
      </c>
      <c r="E25" s="2" t="n"/>
      <c r="F25" s="2" t="n"/>
      <c r="G25" s="2" t="n"/>
      <c r="H25" s="2" t="n"/>
      <c r="I25" s="2" t="n"/>
      <c r="J25" s="2" t="n"/>
      <c r="K25" s="2" t="n"/>
      <c r="L25" s="2" t="n"/>
    </row>
    <row r="26" ht="22" customHeight="1">
      <c r="A26" s="10" t="inlineStr">
        <is>
          <t>铲位7</t>
        </is>
      </c>
      <c r="B26" s="11" t="n">
        <v>1.05</v>
      </c>
      <c r="C26" s="11" t="n">
        <v>1.05</v>
      </c>
      <c r="D26" s="11" t="n">
        <v>32</v>
      </c>
      <c r="E26" s="2" t="n"/>
      <c r="F26" s="2" t="n"/>
      <c r="G26" s="2" t="n"/>
      <c r="H26" s="2" t="n"/>
      <c r="I26" s="2" t="n"/>
      <c r="J26" s="2" t="n"/>
      <c r="K26" s="2" t="n"/>
      <c r="L26" s="2" t="n"/>
    </row>
    <row r="27" ht="22" customHeight="1">
      <c r="A27" s="10" t="inlineStr">
        <is>
          <t>铲位8</t>
        </is>
      </c>
      <c r="B27" s="11" t="n">
        <v>1.3</v>
      </c>
      <c r="C27" s="11" t="n">
        <v>1.15</v>
      </c>
      <c r="D27" s="11" t="n">
        <v>31</v>
      </c>
      <c r="E27" s="2" t="n"/>
      <c r="F27" s="2" t="n"/>
      <c r="G27" s="2" t="n"/>
      <c r="H27" s="2" t="n"/>
      <c r="I27" s="2" t="n"/>
      <c r="J27" s="2" t="n"/>
      <c r="K27" s="2" t="n"/>
      <c r="L27" s="2" t="n"/>
    </row>
    <row r="28" ht="22" customHeight="1">
      <c r="A28" s="10" t="inlineStr">
        <is>
          <t>铲位9</t>
        </is>
      </c>
      <c r="B28" s="11" t="n">
        <v>1.35</v>
      </c>
      <c r="C28" s="11" t="n">
        <v>1.35</v>
      </c>
      <c r="D28" s="11" t="n">
        <v>33</v>
      </c>
      <c r="E28" s="2" t="n"/>
      <c r="F28" s="2" t="n"/>
      <c r="G28" s="2" t="n"/>
      <c r="H28" s="2" t="n"/>
      <c r="I28" s="2" t="n"/>
      <c r="J28" s="2" t="n"/>
      <c r="K28" s="2" t="n"/>
      <c r="L28" s="2" t="n"/>
    </row>
    <row r="29" ht="22" customHeight="1">
      <c r="A29" s="10" t="inlineStr">
        <is>
          <t>铲位10</t>
        </is>
      </c>
      <c r="B29" s="11" t="n">
        <v>1.25</v>
      </c>
      <c r="C29" s="11" t="n">
        <v>1.25</v>
      </c>
      <c r="D29" s="11" t="n">
        <v>31</v>
      </c>
      <c r="E29" s="2" t="n"/>
      <c r="F29" s="2" t="n"/>
      <c r="G29" s="2" t="n"/>
      <c r="H29" s="2" t="n"/>
      <c r="I29" s="2" t="n"/>
      <c r="J29" s="2" t="n"/>
      <c r="K29" s="2" t="n"/>
      <c r="L29" s="2" t="n"/>
    </row>
    <row r="30" ht="22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 ht="22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 ht="22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22" customHeight="1">
      <c r="A33" s="9" t="inlineStr">
        <is>
          <t>卸点</t>
        </is>
      </c>
      <c r="B33" s="9" t="inlineStr">
        <is>
          <t>卸点类型</t>
        </is>
      </c>
      <c r="C33" s="9" t="inlineStr">
        <is>
          <t>需求产量/万吨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22" customHeight="1">
      <c r="A34" s="10" t="inlineStr">
        <is>
          <t>矿石漏</t>
        </is>
      </c>
      <c r="B34" s="10" t="inlineStr">
        <is>
          <t>矿石卸点</t>
        </is>
      </c>
      <c r="C34" s="11" t="n">
        <v>1.2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22" customHeight="1">
      <c r="A35" s="10" t="inlineStr">
        <is>
          <t>倒装场I</t>
        </is>
      </c>
      <c r="B35" s="10" t="inlineStr">
        <is>
          <t>矿石卸点</t>
        </is>
      </c>
      <c r="C35" s="11" t="n">
        <v>1.3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 ht="22" customHeight="1">
      <c r="A36" s="10" t="inlineStr">
        <is>
          <t>倒装场II</t>
        </is>
      </c>
      <c r="B36" s="10" t="inlineStr">
        <is>
          <t>矿石卸点</t>
        </is>
      </c>
      <c r="C36" s="11" t="n">
        <v>1.3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 ht="22" customHeight="1">
      <c r="A37" s="10" t="inlineStr">
        <is>
          <t>岩石漏</t>
        </is>
      </c>
      <c r="B37" s="10" t="inlineStr">
        <is>
          <t>岩石卸点</t>
        </is>
      </c>
      <c r="C37" s="11" t="n">
        <v>1.9</v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 ht="22" customHeight="1">
      <c r="A38" s="10" t="inlineStr">
        <is>
          <t>岩场</t>
        </is>
      </c>
      <c r="B38" s="10" t="inlineStr">
        <is>
          <t>岩石卸点</t>
        </is>
      </c>
      <c r="C38" s="11" t="n">
        <v>1.3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 ht="22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 ht="22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 ht="22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 ht="22" customHeight="1">
      <c r="A42" s="9" t="inlineStr">
        <is>
          <t>铲位</t>
        </is>
      </c>
      <c r="B42" s="9" t="inlineStr">
        <is>
          <t>矿石漏</t>
        </is>
      </c>
      <c r="C42" s="9" t="inlineStr">
        <is>
          <t>倒装场I</t>
        </is>
      </c>
      <c r="D42" s="9" t="inlineStr">
        <is>
          <t>倒装场II</t>
        </is>
      </c>
      <c r="E42" s="9" t="inlineStr">
        <is>
          <t>岩石漏</t>
        </is>
      </c>
      <c r="F42" s="9" t="inlineStr">
        <is>
          <t>岩场</t>
        </is>
      </c>
      <c r="G42" s="2" t="n"/>
      <c r="H42" s="2" t="n"/>
      <c r="I42" s="2" t="n"/>
      <c r="J42" s="2" t="n"/>
      <c r="K42" s="2" t="n"/>
      <c r="L42" s="2" t="n"/>
    </row>
    <row r="43" ht="22" customHeight="1">
      <c r="A43" s="10" t="inlineStr">
        <is>
          <t>铲位1</t>
        </is>
      </c>
      <c r="B43" s="11" t="n">
        <v>5.26</v>
      </c>
      <c r="C43" s="11" t="n">
        <v>1.9</v>
      </c>
      <c r="D43" s="11" t="n">
        <v>4.42</v>
      </c>
      <c r="E43" s="11" t="n">
        <v>0.64</v>
      </c>
      <c r="F43" s="11" t="n">
        <v>5.89</v>
      </c>
      <c r="G43" s="2" t="n"/>
      <c r="H43" s="2" t="n"/>
      <c r="I43" s="2" t="n"/>
      <c r="J43" s="2" t="n"/>
      <c r="K43" s="2" t="n"/>
      <c r="L43" s="2" t="n"/>
    </row>
    <row r="44" ht="22" customHeight="1">
      <c r="A44" s="10" t="inlineStr">
        <is>
          <t>铲位2</t>
        </is>
      </c>
      <c r="B44" s="11" t="n">
        <v>5.19</v>
      </c>
      <c r="C44" s="11" t="n">
        <v>0.99</v>
      </c>
      <c r="D44" s="11" t="n">
        <v>3.86</v>
      </c>
      <c r="E44" s="11" t="n">
        <v>1.76</v>
      </c>
      <c r="F44" s="11" t="n">
        <v>5.61</v>
      </c>
      <c r="G44" s="2" t="n"/>
      <c r="H44" s="2" t="n"/>
      <c r="I44" s="2" t="n"/>
      <c r="J44" s="2" t="n"/>
      <c r="K44" s="2" t="n"/>
      <c r="L44" s="2" t="n"/>
    </row>
    <row r="45" ht="22" customHeight="1">
      <c r="A45" s="10" t="inlineStr">
        <is>
          <t>铲位3</t>
        </is>
      </c>
      <c r="B45" s="11" t="n">
        <v>4.21</v>
      </c>
      <c r="C45" s="11" t="n">
        <v>1.9</v>
      </c>
      <c r="D45" s="11" t="n">
        <v>3.72</v>
      </c>
      <c r="E45" s="11" t="n">
        <v>1.27</v>
      </c>
      <c r="F45" s="11" t="n">
        <v>5.61</v>
      </c>
      <c r="G45" s="2" t="n"/>
      <c r="H45" s="2" t="n"/>
      <c r="I45" s="2" t="n"/>
      <c r="J45" s="2" t="n"/>
      <c r="K45" s="2" t="n"/>
      <c r="L45" s="2" t="n"/>
    </row>
    <row r="46" ht="22" customHeight="1">
      <c r="A46" s="10" t="inlineStr">
        <is>
          <t>铲位4</t>
        </is>
      </c>
      <c r="B46" s="11" t="n">
        <v>4</v>
      </c>
      <c r="C46" s="11" t="n">
        <v>1.13</v>
      </c>
      <c r="D46" s="11" t="n">
        <v>3.16</v>
      </c>
      <c r="E46" s="11" t="n">
        <v>1.83</v>
      </c>
      <c r="F46" s="11" t="n">
        <v>4.56</v>
      </c>
      <c r="G46" s="2" t="n"/>
      <c r="H46" s="2" t="n"/>
      <c r="I46" s="2" t="n"/>
      <c r="J46" s="2" t="n"/>
      <c r="K46" s="2" t="n"/>
      <c r="L46" s="2" t="n"/>
    </row>
    <row r="47" ht="22" customHeight="1">
      <c r="A47" s="10" t="inlineStr">
        <is>
          <t>铲位5</t>
        </is>
      </c>
      <c r="B47" s="11" t="n">
        <v>2.95</v>
      </c>
      <c r="C47" s="11" t="n">
        <v>1.27</v>
      </c>
      <c r="D47" s="11" t="n">
        <v>2.25</v>
      </c>
      <c r="E47" s="11" t="n">
        <v>2.74</v>
      </c>
      <c r="F47" s="11" t="n">
        <v>3.51</v>
      </c>
      <c r="G47" s="2" t="n"/>
      <c r="H47" s="2" t="n"/>
      <c r="I47" s="2" t="n"/>
      <c r="J47" s="2" t="n"/>
      <c r="K47" s="2" t="n"/>
      <c r="L47" s="2" t="n"/>
    </row>
    <row r="48" ht="22" customHeight="1">
      <c r="A48" s="10" t="inlineStr">
        <is>
          <t>铲位6</t>
        </is>
      </c>
      <c r="B48" s="11" t="n">
        <v>2.74</v>
      </c>
      <c r="C48" s="11" t="n">
        <v>2.25</v>
      </c>
      <c r="D48" s="11" t="n">
        <v>2.81</v>
      </c>
      <c r="E48" s="11" t="n">
        <v>2.6</v>
      </c>
      <c r="F48" s="11" t="n">
        <v>3.65</v>
      </c>
      <c r="G48" s="2" t="n"/>
      <c r="H48" s="2" t="n"/>
      <c r="I48" s="2" t="n"/>
      <c r="J48" s="2" t="n"/>
      <c r="K48" s="2" t="n"/>
      <c r="L48" s="2" t="n"/>
    </row>
    <row r="49" ht="22" customHeight="1">
      <c r="A49" s="10" t="inlineStr">
        <is>
          <t>铲位7</t>
        </is>
      </c>
      <c r="B49" s="11" t="n">
        <v>2.46</v>
      </c>
      <c r="C49" s="11" t="n">
        <v>1.48</v>
      </c>
      <c r="D49" s="11" t="n">
        <v>0.78</v>
      </c>
      <c r="E49" s="11" t="n">
        <v>4.21</v>
      </c>
      <c r="F49" s="11" t="n">
        <v>2.46</v>
      </c>
      <c r="G49" s="2" t="n"/>
      <c r="H49" s="2" t="n"/>
      <c r="I49" s="2" t="n"/>
      <c r="J49" s="2" t="n"/>
      <c r="K49" s="2" t="n"/>
      <c r="L49" s="2" t="n"/>
    </row>
    <row r="50" ht="22" customHeight="1">
      <c r="A50" s="10" t="inlineStr">
        <is>
          <t>铲位8</t>
        </is>
      </c>
      <c r="B50" s="11" t="n">
        <v>1.9</v>
      </c>
      <c r="C50" s="11" t="n">
        <v>2.04</v>
      </c>
      <c r="D50" s="11" t="n">
        <v>1.62</v>
      </c>
      <c r="E50" s="11" t="n">
        <v>3.72</v>
      </c>
      <c r="F50" s="11" t="n">
        <v>2.46</v>
      </c>
      <c r="G50" s="2" t="n"/>
      <c r="H50" s="2" t="n"/>
      <c r="I50" s="2" t="n"/>
      <c r="J50" s="2" t="n"/>
      <c r="K50" s="2" t="n"/>
      <c r="L50" s="2" t="n"/>
    </row>
    <row r="51" ht="22" customHeight="1">
      <c r="A51" s="10" t="inlineStr">
        <is>
          <t>铲位9</t>
        </is>
      </c>
      <c r="B51" s="11" t="n">
        <v>0.64</v>
      </c>
      <c r="C51" s="11" t="n">
        <v>3.09</v>
      </c>
      <c r="D51" s="11" t="n">
        <v>1.27</v>
      </c>
      <c r="E51" s="11" t="n">
        <v>5.05</v>
      </c>
      <c r="F51" s="11" t="n">
        <v>1.06</v>
      </c>
      <c r="G51" s="2" t="n"/>
      <c r="H51" s="2" t="n"/>
      <c r="I51" s="2" t="n"/>
      <c r="J51" s="2" t="n"/>
      <c r="K51" s="2" t="n"/>
      <c r="L51" s="2" t="n"/>
    </row>
    <row r="52" ht="22" customHeight="1">
      <c r="A52" s="10" t="inlineStr">
        <is>
          <t>铲位10</t>
        </is>
      </c>
      <c r="B52" s="11" t="n">
        <v>1.27</v>
      </c>
      <c r="C52" s="11" t="n">
        <v>3.51</v>
      </c>
      <c r="D52" s="11" t="n">
        <v>0.5</v>
      </c>
      <c r="E52" s="11" t="n">
        <v>6.1</v>
      </c>
      <c r="F52" s="11" t="n">
        <v>0.57</v>
      </c>
      <c r="G52" s="2" t="n"/>
      <c r="H52" s="2" t="n"/>
      <c r="I52" s="2" t="n"/>
      <c r="J52" s="2" t="n"/>
      <c r="K52" s="2" t="n"/>
      <c r="L52" s="2" t="n"/>
    </row>
  </sheetData>
  <autoFilter ref="A42:F52"/>
  <mergeCells count="2">
    <mergeCell ref="A2:L2"/>
    <mergeCell ref="A1:L1"/>
  </mergeCells>
  <pageMargins left="0.3" right="0.3" top="0.5" bottom="0.5" header="0.5" footer="0.5"/>
  <pageSetup orientation="landscape" fitToHeight="0" fitToWidth="1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5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建模说明与结果解释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用于论文撰写时快速回顾模型变量、约束、目标函数和求解结果含义。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9" t="inlineStr">
        <is>
          <t>模块</t>
        </is>
      </c>
      <c r="B4" s="9" t="inlineStr">
        <is>
          <t>说明</t>
        </is>
      </c>
      <c r="C4" s="2" t="n"/>
      <c r="D4" s="2" t="n"/>
      <c r="E4" s="2" t="n"/>
      <c r="F4" s="2" t="n"/>
      <c r="G4" s="2" t="n"/>
      <c r="H4" s="2" t="n"/>
    </row>
    <row r="5" ht="22" customHeight="1">
      <c r="A5" s="10" t="inlineStr">
        <is>
          <t>问题性质</t>
        </is>
      </c>
      <c r="B5" s="10" t="inlineStr">
        <is>
          <t>本题属于带产量、品位、设备能力和车辆能力约束的混合整数规划问题。</t>
        </is>
      </c>
      <c r="C5" s="2" t="n"/>
      <c r="D5" s="2" t="n"/>
      <c r="E5" s="2" t="n"/>
      <c r="F5" s="2" t="n"/>
      <c r="G5" s="2" t="n"/>
      <c r="H5" s="2" t="n"/>
    </row>
    <row r="6" ht="22" customHeight="1">
      <c r="A6" s="10" t="inlineStr">
        <is>
          <t>主要决策变量</t>
        </is>
      </c>
      <c r="B6" s="10" t="inlineStr">
        <is>
          <t>x[i,j]表示铲位i到卸点j的运输趟数；y[i]表示铲位i是否布置电铲；n[i,j]表示路线i到j安排的卡车数。</t>
        </is>
      </c>
      <c r="C6" s="2" t="n"/>
      <c r="D6" s="2" t="n"/>
      <c r="E6" s="2" t="n"/>
      <c r="F6" s="2" t="n"/>
      <c r="G6" s="2" t="n"/>
      <c r="H6" s="2" t="n"/>
    </row>
    <row r="7" ht="22" customHeight="1">
      <c r="A7" s="10" t="inlineStr">
        <is>
          <t>产量约束</t>
        </is>
      </c>
      <c r="B7" s="10" t="inlineStr">
        <is>
          <t>各卸点实际产量必须不低于题目给定需求；模型2在满足原始需求基础上进一步增产。</t>
        </is>
      </c>
      <c r="C7" s="2" t="n"/>
      <c r="D7" s="2" t="n"/>
      <c r="E7" s="2" t="n"/>
      <c r="F7" s="2" t="n"/>
      <c r="G7" s="2" t="n"/>
      <c r="H7" s="2" t="n"/>
    </row>
    <row r="8" ht="22" customHeight="1">
      <c r="A8" s="10" t="inlineStr">
        <is>
          <t>品位约束</t>
        </is>
      </c>
      <c r="B8" s="10" t="inlineStr">
        <is>
          <t>三个矿石卸点的混合平均品位需位于28.5%至30.5%之间，采用线性化后的上下界约束实现。</t>
        </is>
      </c>
      <c r="C8" s="2" t="n"/>
      <c r="D8" s="2" t="n"/>
      <c r="E8" s="2" t="n"/>
      <c r="F8" s="2" t="n"/>
      <c r="G8" s="2" t="n"/>
      <c r="H8" s="2" t="n"/>
    </row>
    <row r="9" ht="22" customHeight="1">
      <c r="A9" s="10" t="inlineStr">
        <is>
          <t>设备约束</t>
        </is>
      </c>
      <c r="B9" s="10" t="inlineStr">
        <is>
          <t>最多使用7台电铲；每台电铲每班次最多装车96趟；每个卸点每班次最多卸车160趟。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10" t="inlineStr">
        <is>
          <t>车辆约束</t>
        </is>
      </c>
      <c r="B10" s="10" t="inlineStr">
        <is>
          <t>路线运输趟数不能超过该路线车辆数乘以单车最大趟数；总卡车数不超过20辆。</t>
        </is>
      </c>
      <c r="C10" s="2" t="n"/>
      <c r="D10" s="2" t="n"/>
      <c r="E10" s="2" t="n"/>
      <c r="F10" s="2" t="n"/>
      <c r="G10" s="2" t="n"/>
      <c r="H10" s="2" t="n"/>
    </row>
    <row r="11" ht="22" customHeight="1">
      <c r="A11" s="10" t="inlineStr">
        <is>
          <t>模型1目标</t>
        </is>
      </c>
      <c r="B11" s="10" t="inlineStr">
        <is>
          <t>在满足各类约束条件下，总运量最小；并进一步要求使用车辆数尽量少。</t>
        </is>
      </c>
      <c r="C11" s="2" t="n"/>
      <c r="D11" s="2" t="n"/>
      <c r="E11" s="2" t="n"/>
      <c r="F11" s="2" t="n"/>
      <c r="G11" s="2" t="n"/>
      <c r="H11" s="2" t="n"/>
    </row>
    <row r="12" ht="22" customHeight="1">
      <c r="A12" s="10" t="inlineStr">
        <is>
          <t>模型2目标</t>
        </is>
      </c>
      <c r="B12" s="10" t="inlineStr">
        <is>
          <t>利用现有20辆车获得最大产量，其中岩石产量优先，其次矿石产量，最后考虑总运量较小。</t>
        </is>
      </c>
      <c r="C12" s="2" t="n"/>
      <c r="D12" s="2" t="n"/>
      <c r="E12" s="2" t="n"/>
      <c r="F12" s="2" t="n"/>
      <c r="G12" s="2" t="n"/>
      <c r="H12" s="2" t="n"/>
    </row>
    <row r="13" ht="22" customHeight="1">
      <c r="A13" s="10" t="inlineStr">
        <is>
          <t>模型1结果</t>
        </is>
      </c>
      <c r="B13" s="10" t="inlineStr">
        <is>
          <t>最小总运量为85628.62吨公里，使用19辆卡车，总产量7.0378万吨。</t>
        </is>
      </c>
      <c r="C13" s="2" t="n"/>
      <c r="D13" s="2" t="n"/>
      <c r="E13" s="2" t="n"/>
      <c r="F13" s="2" t="n"/>
      <c r="G13" s="2" t="n"/>
      <c r="H13" s="2" t="n"/>
    </row>
    <row r="14" ht="22" customHeight="1">
      <c r="A14" s="10" t="inlineStr">
        <is>
          <t>模型2结果</t>
        </is>
      </c>
      <c r="B14" s="10" t="inlineStr">
        <is>
          <t>使用20辆卡车，总产量9.4402万吨，其中岩石产量4.928万吨，矿石产量4.5122万吨。</t>
        </is>
      </c>
      <c r="C14" s="2" t="n"/>
      <c r="D14" s="2" t="n"/>
      <c r="E14" s="2" t="n"/>
      <c r="F14" s="2" t="n"/>
      <c r="G14" s="2" t="n"/>
      <c r="H14" s="2" t="n"/>
    </row>
    <row r="15" ht="22" customHeight="1">
      <c r="A15" s="10" t="inlineStr">
        <is>
          <t>结果解读</t>
        </is>
      </c>
      <c r="B15" s="10" t="inlineStr">
        <is>
          <t>模型1适合运输成本控制场景；模型2适合设备满负荷生产场景。二者目标不同，因此生产计划和总运量不同。</t>
        </is>
      </c>
      <c r="C15" s="2" t="n"/>
      <c r="D15" s="2" t="n"/>
      <c r="E15" s="2" t="n"/>
      <c r="F15" s="2" t="n"/>
      <c r="G15" s="2" t="n"/>
      <c r="H15" s="2" t="n"/>
    </row>
  </sheetData>
  <autoFilter ref="A4:B15"/>
  <mergeCells count="2">
    <mergeCell ref="A2:H2"/>
    <mergeCell ref="A1:H1"/>
  </mergeCells>
  <pageMargins left="0.3" right="0.3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2026-06-28T07:00:32Z</dcterms:created>
  <dcterms:modified xsi:type="dcterms:W3CDTF">2026-06-28T07:00:32Z</dcterms:modified>
</cp:coreProperties>
</file>